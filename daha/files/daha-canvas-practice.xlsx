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캔버스 5가지" sheetId="2" state="visible" r:id="rId4"/>
    <sheet name="프로그램실적" sheetId="3" state="visible" r:id="rId5"/>
    <sheet name="예산집행" sheetId="4" state="visible" r:id="rId6"/>
    <sheet name="이용자현황" sheetId="5" state="visible" r:id="rId7"/>
    <sheet name="자원봉사" sheetId="6" state="visible" r:id="rId8"/>
    <sheet name="만족도응답" sheetId="7" state="visible" r:id="rId9"/>
  </sheets>
  <definedNames>
    <definedName function="false" hidden="true" localSheetId="6" name="_xlnm._FilterDatabase" vbProcedure="false">만족도응답!$A$4:$I$124</definedName>
    <definedName function="false" hidden="true" localSheetId="4" name="_xlnm._FilterDatabase" vbProcedure="false">이용자현황!$A$4:$J$154</definedName>
    <definedName function="false" hidden="true" localSheetId="2" name="_xlnm._FilterDatabase" vbProcedure="false">프로그램실적!$A$4:$L$58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<sst xmlns="http://schemas.openxmlformats.org/spreadsheetml/2006/main" count="2217" uniqueCount="380">
  <si>
    <r>
      <rPr>
        <b val="true"/>
        <sz val="15"/>
        <color rgb="FF1D3969"/>
        <rFont val="맑은 고딕"/>
        <family val="0"/>
        <charset val="1"/>
      </rPr>
      <t xml:space="preserve">[</t>
    </r>
    <r>
      <rPr>
        <b val="true"/>
        <sz val="15"/>
        <color rgb="FF1D3969"/>
        <rFont val="Noto Sans CJK SC"/>
        <family val="2"/>
      </rPr>
      <t xml:space="preserve">실습용 가상 자료</t>
    </r>
    <r>
      <rPr>
        <b val="true"/>
        <sz val="15"/>
        <color rgb="FF1D3969"/>
        <rFont val="맑은 고딕"/>
        <family val="0"/>
        <charset val="1"/>
      </rPr>
      <t xml:space="preserve">] Canvas </t>
    </r>
    <r>
      <rPr>
        <b val="true"/>
        <sz val="15"/>
        <color rgb="FF1D3969"/>
        <rFont val="Noto Sans CJK SC"/>
        <family val="2"/>
      </rPr>
      <t xml:space="preserve">실습 </t>
    </r>
    <r>
      <rPr>
        <b val="true"/>
        <sz val="15"/>
        <color rgb="FF1D3969"/>
        <rFont val="맑은 고딕"/>
        <family val="0"/>
        <charset val="1"/>
      </rPr>
      <t xml:space="preserve">· </t>
    </r>
    <r>
      <rPr>
        <b val="true"/>
        <sz val="15"/>
        <color rgb="FF1D3969"/>
        <rFont val="Noto Sans CJK SC"/>
        <family val="2"/>
      </rPr>
      <t xml:space="preserve">다하 </t>
    </r>
    <r>
      <rPr>
        <b val="true"/>
        <sz val="15"/>
        <color rgb="FF1D3969"/>
        <rFont val="맑은 고딕"/>
        <family val="0"/>
        <charset val="1"/>
      </rPr>
      <t xml:space="preserve">2026</t>
    </r>
    <r>
      <rPr>
        <b val="true"/>
        <sz val="15"/>
        <color rgb="FF1D3969"/>
        <rFont val="Noto Sans CJK SC"/>
        <family val="2"/>
      </rPr>
      <t xml:space="preserve">년 </t>
    </r>
    <r>
      <rPr>
        <b val="true"/>
        <sz val="15"/>
        <color rgb="FF1D3969"/>
        <rFont val="맑은 고딕"/>
        <family val="0"/>
        <charset val="1"/>
      </rPr>
      <t xml:space="preserve">1~9</t>
    </r>
    <r>
      <rPr>
        <b val="true"/>
        <sz val="15"/>
        <color rgb="FF1D3969"/>
        <rFont val="Noto Sans CJK SC"/>
        <family val="2"/>
      </rPr>
      <t xml:space="preserve">월 사업 실적</t>
    </r>
  </si>
  <si>
    <r>
      <rPr>
        <sz val="10"/>
        <color rgb="FF6B7280"/>
        <rFont val="Noto Sans CJK SC"/>
        <family val="2"/>
      </rPr>
      <t xml:space="preserve">모든 기관</t>
    </r>
    <r>
      <rPr>
        <sz val="10"/>
        <color rgb="FF6B7280"/>
        <rFont val="맑은 고딕"/>
        <family val="0"/>
        <charset val="1"/>
      </rPr>
      <t xml:space="preserve">·</t>
    </r>
    <r>
      <rPr>
        <sz val="10"/>
        <color rgb="FF6B7280"/>
        <rFont val="Noto Sans CJK SC"/>
        <family val="2"/>
      </rPr>
      <t xml:space="preserve">인물</t>
    </r>
    <r>
      <rPr>
        <sz val="10"/>
        <color rgb="FF6B7280"/>
        <rFont val="맑은 고딕"/>
        <family val="0"/>
        <charset val="1"/>
      </rPr>
      <t xml:space="preserve">·</t>
    </r>
    <r>
      <rPr>
        <sz val="10"/>
        <color rgb="FF6B7280"/>
        <rFont val="Noto Sans CJK SC"/>
        <family val="2"/>
      </rPr>
      <t xml:space="preserve">수치는 </t>
    </r>
    <r>
      <rPr>
        <sz val="10"/>
        <color rgb="FF6B7280"/>
        <rFont val="맑은 고딕"/>
        <family val="0"/>
        <charset val="1"/>
      </rPr>
      <t xml:space="preserve">Gemini Canvas </t>
    </r>
    <r>
      <rPr>
        <sz val="10"/>
        <color rgb="FF6B7280"/>
        <rFont val="Noto Sans CJK SC"/>
        <family val="2"/>
      </rPr>
      <t xml:space="preserve">대시보드 실습을 위해 만든 가상 데이터임</t>
    </r>
  </si>
  <si>
    <r>
      <rPr>
        <b val="true"/>
        <sz val="13"/>
        <color rgb="FFB91C1C"/>
        <rFont val="Noto Sans CJK SC"/>
        <family val="2"/>
      </rPr>
      <t xml:space="preserve">▶ 오늘 쓰는 곳</t>
    </r>
    <r>
      <rPr>
        <b val="true"/>
        <sz val="13"/>
        <color rgb="FFB91C1C"/>
        <rFont val="맑은 고딕"/>
        <family val="0"/>
        <charset val="1"/>
      </rPr>
      <t xml:space="preserve">: [</t>
    </r>
    <r>
      <rPr>
        <b val="true"/>
        <sz val="13"/>
        <color rgb="FFB91C1C"/>
        <rFont val="Noto Sans CJK SC"/>
        <family val="2"/>
      </rPr>
      <t xml:space="preserve">캔버스 </t>
    </r>
    <r>
      <rPr>
        <b val="true"/>
        <sz val="13"/>
        <color rgb="FFB91C1C"/>
        <rFont val="맑은 고딕"/>
        <family val="0"/>
        <charset val="1"/>
      </rPr>
      <t xml:space="preserve">5</t>
    </r>
    <r>
      <rPr>
        <b val="true"/>
        <sz val="13"/>
        <color rgb="FFB91C1C"/>
        <rFont val="Noto Sans CJK SC"/>
        <family val="2"/>
      </rPr>
      <t xml:space="preserve">가지</t>
    </r>
    <r>
      <rPr>
        <b val="true"/>
        <sz val="13"/>
        <color rgb="FFB91C1C"/>
        <rFont val="맑은 고딕"/>
        <family val="0"/>
        <charset val="1"/>
      </rPr>
      <t xml:space="preserve">] </t>
    </r>
    <r>
      <rPr>
        <b val="true"/>
        <sz val="13"/>
        <color rgb="FFB91C1C"/>
        <rFont val="Noto Sans CJK SC"/>
        <family val="2"/>
      </rPr>
      <t xml:space="preserve">시트 </t>
    </r>
    <r>
      <rPr>
        <b val="true"/>
        <sz val="13"/>
        <color rgb="FFB91C1C"/>
        <rFont val="맑은 고딕"/>
        <family val="0"/>
        <charset val="1"/>
      </rPr>
      <t xml:space="preserve">(</t>
    </r>
    <r>
      <rPr>
        <b val="true"/>
        <sz val="13"/>
        <color rgb="FFB91C1C"/>
        <rFont val="Noto Sans CJK SC"/>
        <family val="2"/>
      </rPr>
      <t xml:space="preserve">프롬프트 복사</t>
    </r>
    <r>
      <rPr>
        <b val="true"/>
        <sz val="13"/>
        <color rgb="FFB91C1C"/>
        <rFont val="맑은 고딕"/>
        <family val="0"/>
        <charset val="1"/>
      </rPr>
      <t xml:space="preserve">) · </t>
    </r>
    <r>
      <rPr>
        <b val="true"/>
        <sz val="13"/>
        <color rgb="FFB91C1C"/>
        <rFont val="Noto Sans CJK SC"/>
        <family val="2"/>
      </rPr>
      <t xml:space="preserve">나머지 시트는 고치지 말고 파일 그대로 </t>
    </r>
    <r>
      <rPr>
        <b val="true"/>
        <sz val="13"/>
        <color rgb="FFB91C1C"/>
        <rFont val="맑은 고딕"/>
        <family val="0"/>
        <charset val="1"/>
      </rPr>
      <t xml:space="preserve">Gemini</t>
    </r>
    <r>
      <rPr>
        <b val="true"/>
        <sz val="13"/>
        <color rgb="FFB91C1C"/>
        <rFont val="Noto Sans CJK SC"/>
        <family val="2"/>
      </rPr>
      <t xml:space="preserve">에 올리기</t>
    </r>
  </si>
  <si>
    <t xml:space="preserve">시트</t>
  </si>
  <si>
    <t xml:space="preserve">내용</t>
  </si>
  <si>
    <t xml:space="preserve">행 수</t>
  </si>
  <si>
    <t xml:space="preserve">프로그램실적</t>
  </si>
  <si>
    <r>
      <rPr>
        <sz val="10"/>
        <rFont val="Noto Sans CJK SC"/>
        <family val="2"/>
      </rPr>
      <t xml:space="preserve">사업팀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프로그램별 월간 계획 대비 실적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회기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인원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만족도</t>
    </r>
    <r>
      <rPr>
        <sz val="10"/>
        <rFont val="맑은 고딕"/>
        <family val="0"/>
        <charset val="1"/>
      </rPr>
      <t xml:space="preserve">)</t>
    </r>
  </si>
  <si>
    <t xml:space="preserve">54</t>
  </si>
  <si>
    <t xml:space="preserve">예산집행</t>
  </si>
  <si>
    <r>
      <rPr>
        <sz val="10"/>
        <rFont val="Noto Sans CJK SC"/>
        <family val="2"/>
      </rPr>
      <t xml:space="preserve">세부 항목별 연간 예산과 월별 집행액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집행률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수식</t>
    </r>
    <r>
      <rPr>
        <sz val="10"/>
        <rFont val="맑은 고딕"/>
        <family val="0"/>
        <charset val="1"/>
      </rPr>
      <t xml:space="preserve">)</t>
    </r>
  </si>
  <si>
    <t xml:space="preserve">12</t>
  </si>
  <si>
    <t xml:space="preserve">이용자현황</t>
  </si>
  <si>
    <r>
      <rPr>
        <sz val="10"/>
        <rFont val="Noto Sans CJK SC"/>
        <family val="2"/>
      </rPr>
      <t xml:space="preserve">등록 이용자 목록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가명 </t>
    </r>
    <r>
      <rPr>
        <sz val="10"/>
        <rFont val="맑은 고딕"/>
        <family val="0"/>
        <charset val="1"/>
      </rPr>
      <t xml:space="preserve">ID · </t>
    </r>
    <r>
      <rPr>
        <sz val="10"/>
        <rFont val="Noto Sans CJK SC"/>
        <family val="2"/>
      </rPr>
      <t xml:space="preserve">연령대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지역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이용 서비스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상태</t>
    </r>
    <r>
      <rPr>
        <sz val="10"/>
        <rFont val="맑은 고딕"/>
        <family val="0"/>
        <charset val="1"/>
      </rPr>
      <t xml:space="preserve">)</t>
    </r>
  </si>
  <si>
    <t xml:space="preserve">150</t>
  </si>
  <si>
    <t xml:space="preserve">자원봉사</t>
  </si>
  <si>
    <r>
      <rPr>
        <sz val="10"/>
        <rFont val="Noto Sans CJK SC"/>
        <family val="2"/>
      </rPr>
      <t xml:space="preserve">월별 봉사자 수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봉사 시간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활동 분야</t>
    </r>
  </si>
  <si>
    <t xml:space="preserve">36</t>
  </si>
  <si>
    <t xml:space="preserve">만족도응답</t>
  </si>
  <si>
    <r>
      <rPr>
        <sz val="10"/>
        <rFont val="Noto Sans CJK SC"/>
        <family val="2"/>
      </rPr>
      <t xml:space="preserve">프로그램 만족도 설문 원자료 </t>
    </r>
    <r>
      <rPr>
        <sz val="10"/>
        <rFont val="맑은 고딕"/>
        <family val="0"/>
        <charset val="1"/>
      </rPr>
      <t xml:space="preserve">(5</t>
    </r>
    <r>
      <rPr>
        <sz val="10"/>
        <rFont val="Noto Sans CJK SC"/>
        <family val="2"/>
      </rPr>
      <t xml:space="preserve">점 척도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문항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서술</t>
    </r>
    <r>
      <rPr>
        <sz val="10"/>
        <rFont val="맑은 고딕"/>
        <family val="0"/>
        <charset val="1"/>
      </rPr>
      <t xml:space="preserve">)</t>
    </r>
  </si>
  <si>
    <t xml:space="preserve">120</t>
  </si>
  <si>
    <t xml:space="preserve">실습 순서</t>
  </si>
  <si>
    <r>
      <rPr>
        <sz val="10"/>
        <rFont val="맑은 고딕"/>
        <family val="0"/>
        <charset val="1"/>
      </rPr>
      <t xml:space="preserve">1. Gemini </t>
    </r>
    <r>
      <rPr>
        <sz val="10"/>
        <rFont val="Noto Sans CJK SC"/>
        <family val="2"/>
      </rPr>
      <t xml:space="preserve">입력창 </t>
    </r>
    <r>
      <rPr>
        <sz val="10"/>
        <rFont val="맑은 고딕"/>
        <family val="0"/>
        <charset val="1"/>
      </rPr>
      <t xml:space="preserve">[+] → </t>
    </r>
    <r>
      <rPr>
        <sz val="10"/>
        <rFont val="Noto Sans CJK SC"/>
        <family val="2"/>
      </rPr>
      <t xml:space="preserve">파일 업로드로 이 엑셀 파일 올리기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</si>
  <si>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입력창 </t>
    </r>
    <r>
      <rPr>
        <sz val="10"/>
        <rFont val="맑은 고딕"/>
        <family val="0"/>
        <charset val="1"/>
      </rPr>
      <t xml:space="preserve">[+] → Canvas </t>
    </r>
    <r>
      <rPr>
        <sz val="10"/>
        <rFont val="Noto Sans CJK SC"/>
        <family val="2"/>
      </rPr>
      <t xml:space="preserve">선택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</si>
  <si>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아래 프롬프트 ①을 복사해 붙여넣기 → 오른쪽에 대시보드 생성 확인</t>
    </r>
  </si>
  <si>
    <r>
      <rPr>
        <sz val="10"/>
        <rFont val="맑은 고딕"/>
        <family val="0"/>
        <charset val="1"/>
      </rPr>
      <t xml:space="preserve">4. </t>
    </r>
    <r>
      <rPr>
        <sz val="10"/>
        <rFont val="Noto Sans CJK SC"/>
        <family val="2"/>
      </rPr>
      <t xml:space="preserve">프롬프트 ②</t>
    </r>
    <r>
      <rPr>
        <sz val="10"/>
        <rFont val="맑은 고딕"/>
        <family val="0"/>
        <charset val="1"/>
      </rPr>
      <t xml:space="preserve">~④</t>
    </r>
    <r>
      <rPr>
        <sz val="10"/>
        <rFont val="Noto Sans CJK SC"/>
        <family val="2"/>
      </rPr>
      <t xml:space="preserve">로 하나씩 고쳐 가며 완성도 높이기</t>
    </r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</si>
  <si>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숫자 </t>
    </r>
    <r>
      <rPr>
        <sz val="10"/>
        <rFont val="맑은 고딕"/>
        <family val="0"/>
        <charset val="1"/>
      </rPr>
      <t xml:space="preserve">1~2</t>
    </r>
    <r>
      <rPr>
        <sz val="10"/>
        <rFont val="Noto Sans CJK SC"/>
        <family val="2"/>
      </rPr>
      <t xml:space="preserve">개를 엑셀 원본과 직접 대조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9</t>
    </r>
    <r>
      <rPr>
        <sz val="10"/>
        <rFont val="Noto Sans CJK SC"/>
        <family val="2"/>
      </rPr>
      <t xml:space="preserve">월 실참여 연인원 합계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</si>
  <si>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6. </t>
    </r>
    <r>
      <rPr>
        <sz val="10"/>
        <rFont val="Noto Sans CJK SC"/>
        <family val="2"/>
      </rPr>
      <t xml:space="preserve">공유 또는 화면 캡처로 이사회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운영위원회 보고 자료에 활용</t>
    </r>
  </si>
  <si>
    <t xml:space="preserve">복사해서 쓰는 프롬프트</t>
  </si>
  <si>
    <t xml:space="preserve">① 기본</t>
  </si>
  <si>
    <r>
      <rPr>
        <sz val="10"/>
        <rFont val="Noto Sans CJK SC"/>
        <family val="2"/>
      </rPr>
      <t xml:space="preserve">첨부한 엑셀은 우리 법인의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1~9</t>
    </r>
    <r>
      <rPr>
        <sz val="10"/>
        <rFont val="Noto Sans CJK SC"/>
        <family val="2"/>
      </rPr>
      <t xml:space="preserve">월 사업 실적이야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운영위원회 발표용 대시보드를 웹페이지로 만들어 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맨 위에 핵심 숫자 카드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총 실참여 연인원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평균 만족도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예산 집행률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자원봉사 총 시간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그 아래 월별 참여 추이 선 그래프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사업팀별 계획 대비 달성률 막대그래프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예산 항목별 집행률 표를 넣어 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숫자는 엑셀 값만 쓰고 계산 방법을 아래에 적어 줘</t>
    </r>
    <r>
      <rPr>
        <sz val="10"/>
        <rFont val="맑은 고딕"/>
        <family val="0"/>
        <charset val="1"/>
      </rPr>
      <t xml:space="preserve">.</t>
    </r>
  </si>
  <si>
    <t xml:space="preserve">② 필터</t>
  </si>
  <si>
    <r>
      <rPr>
        <sz val="10"/>
        <rFont val="Noto Sans CJK SC"/>
        <family val="2"/>
      </rPr>
      <t xml:space="preserve">상단에 사업팀 선택 버튼을 넣어서 누르면 해당 팀 숫자만 보이게 해 줘</t>
    </r>
    <r>
      <rPr>
        <sz val="10"/>
        <rFont val="맑은 고딕"/>
        <family val="0"/>
        <charset val="1"/>
      </rPr>
      <t xml:space="preserve">.</t>
    </r>
  </si>
  <si>
    <t xml:space="preserve">③ 분석</t>
  </si>
  <si>
    <r>
      <rPr>
        <sz val="10"/>
        <rFont val="Noto Sans CJK SC"/>
        <family val="2"/>
      </rPr>
      <t xml:space="preserve">이용자현황 시트로 연령대별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지역별 이용자 분포 차트를 추가하고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종결 사유 상위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개를 보여 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만족도응답 시트의 서술 응답은 좋았던 점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아쉬운 점으로 나눠 대표 문장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개씩 넣어 줘</t>
    </r>
    <r>
      <rPr>
        <sz val="10"/>
        <rFont val="맑은 고딕"/>
        <family val="0"/>
        <charset val="1"/>
      </rPr>
      <t xml:space="preserve">.</t>
    </r>
  </si>
  <si>
    <t xml:space="preserve">④ 마무리</t>
  </si>
  <si>
    <r>
      <rPr>
        <sz val="10"/>
        <rFont val="Noto Sans CJK SC"/>
        <family val="2"/>
      </rPr>
      <t xml:space="preserve">발표용으로 글자를 크게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색은 남색 계열로 차분하게 바꾸고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맨 아래에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실적 요약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줄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과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다음 분기 과제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가지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를 추가해 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과제는 데이터에 근거한 것만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</si>
  <si>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color rgb="FFB91C1C"/>
        <rFont val="Noto Sans CJK SC"/>
        <family val="2"/>
      </rPr>
      <t xml:space="preserve">확인 포인트</t>
    </r>
    <r>
      <rPr>
        <b val="true"/>
        <sz val="10"/>
        <color rgb="FFB91C1C"/>
        <rFont val="맑은 고딕"/>
        <family val="0"/>
        <charset val="1"/>
      </rPr>
      <t xml:space="preserve">: </t>
    </r>
    <r>
      <rPr>
        <b val="true"/>
        <sz val="10"/>
        <color rgb="FFB91C1C"/>
        <rFont val="Noto Sans CJK SC"/>
        <family val="2"/>
      </rPr>
      <t xml:space="preserve">차트 숫자가 엑셀과 같은지 </t>
    </r>
    <r>
      <rPr>
        <b val="true"/>
        <sz val="10"/>
        <color rgb="FFB91C1C"/>
        <rFont val="맑은 고딕"/>
        <family val="0"/>
        <charset val="1"/>
      </rPr>
      <t xml:space="preserve">· </t>
    </r>
    <r>
      <rPr>
        <b val="true"/>
        <sz val="10"/>
        <color rgb="FFB91C1C"/>
        <rFont val="Noto Sans CJK SC"/>
        <family val="2"/>
      </rPr>
      <t xml:space="preserve">없는 수치를 지어내지 않았는지 </t>
    </r>
    <r>
      <rPr>
        <b val="true"/>
        <sz val="10"/>
        <color rgb="FFB91C1C"/>
        <rFont val="맑은 고딕"/>
        <family val="0"/>
        <charset val="1"/>
      </rPr>
      <t xml:space="preserve">· </t>
    </r>
    <r>
      <rPr>
        <b val="true"/>
        <sz val="10"/>
        <color rgb="FFB91C1C"/>
        <rFont val="Noto Sans CJK SC"/>
        <family val="2"/>
      </rPr>
      <t xml:space="preserve">이용자 </t>
    </r>
    <r>
      <rPr>
        <b val="true"/>
        <sz val="10"/>
        <color rgb="FFB91C1C"/>
        <rFont val="맑은 고딕"/>
        <family val="0"/>
        <charset val="1"/>
      </rPr>
      <t xml:space="preserve">ID </t>
    </r>
    <r>
      <rPr>
        <b val="true"/>
        <sz val="10"/>
        <color rgb="FFB91C1C"/>
        <rFont val="Noto Sans CJK SC"/>
        <family val="2"/>
      </rPr>
      <t xml:space="preserve">외 개인정보가 없는지</t>
    </r>
  </si>
  <si>
    <r>
      <rPr>
        <b val="true"/>
        <sz val="15"/>
        <color rgb="FF1D3969"/>
        <rFont val="맑은 고딕"/>
        <family val="0"/>
        <charset val="1"/>
      </rPr>
      <t xml:space="preserve">Canvas 5</t>
    </r>
    <r>
      <rPr>
        <b val="true"/>
        <sz val="15"/>
        <color rgb="FF1D3969"/>
        <rFont val="Noto Sans CJK SC"/>
        <family val="2"/>
      </rPr>
      <t xml:space="preserve">가지 실습 프롬프트</t>
    </r>
  </si>
  <si>
    <r>
      <rPr>
        <sz val="10"/>
        <color rgb="FF6B7280"/>
        <rFont val="Noto Sans CJK SC"/>
        <family val="2"/>
      </rPr>
      <t xml:space="preserve">입력창 </t>
    </r>
    <r>
      <rPr>
        <sz val="10"/>
        <color rgb="FF6B7280"/>
        <rFont val="맑은 고딕"/>
        <family val="0"/>
        <charset val="1"/>
      </rPr>
      <t xml:space="preserve">[+] → Canvas </t>
    </r>
    <r>
      <rPr>
        <sz val="10"/>
        <color rgb="FF6B7280"/>
        <rFont val="Noto Sans CJK SC"/>
        <family val="2"/>
      </rPr>
      <t xml:space="preserve">선택 후 그대로 복사해서 붙여넣기</t>
    </r>
  </si>
  <si>
    <t xml:space="preserve">미션</t>
  </si>
  <si>
    <t xml:space="preserve">기능</t>
  </si>
  <si>
    <t xml:space="preserve">이어서 해 볼 요청</t>
  </si>
  <si>
    <t xml:space="preserve">확인할 것</t>
  </si>
  <si>
    <t xml:space="preserve">①</t>
  </si>
  <si>
    <t xml:space="preserve">긴 글</t>
  </si>
  <si>
    <r>
      <rPr>
        <sz val="10"/>
        <rFont val="Noto Sans CJK SC"/>
        <family val="2"/>
      </rPr>
      <t xml:space="preserve">사회복지법인 다하의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분기 사업 결과보고서 초안을 캔버스에 써 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목차는 </t>
    </r>
    <r>
      <rPr>
        <sz val="10"/>
        <rFont val="맑은 고딕"/>
        <family val="0"/>
        <charset val="1"/>
      </rPr>
      <t xml:space="preserve">1. </t>
    </r>
    <r>
      <rPr>
        <sz val="10"/>
        <rFont val="Noto Sans CJK SC"/>
        <family val="2"/>
      </rPr>
      <t xml:space="preserve">사업 개요 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추진 실적 </t>
    </r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성과와 한계 </t>
    </r>
    <r>
      <rPr>
        <sz val="10"/>
        <rFont val="맑은 고딕"/>
        <family val="0"/>
        <charset val="1"/>
      </rPr>
      <t xml:space="preserve">4. 4</t>
    </r>
    <r>
      <rPr>
        <sz val="10"/>
        <rFont val="Noto Sans CJK SC"/>
        <family val="2"/>
      </rPr>
      <t xml:space="preserve">분기 계획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숫자가 들어갈 자리는 </t>
    </r>
    <r>
      <rPr>
        <sz val="10"/>
        <rFont val="맑은 고딕"/>
        <family val="0"/>
        <charset val="1"/>
      </rPr>
      <t xml:space="preserve">[ ]</t>
    </r>
    <r>
      <rPr>
        <sz val="10"/>
        <rFont val="Noto Sans CJK SC"/>
        <family val="2"/>
      </rPr>
      <t xml:space="preserve">로 비워 둬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</si>
  <si>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성과와 한계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문단만 드래그 →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수치 중심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문장으로</t>
    </r>
    <r>
      <rPr>
        <sz val="10"/>
        <rFont val="맑은 고딕"/>
        <family val="0"/>
        <charset val="1"/>
      </rPr>
      <t xml:space="preserve">" / </t>
    </r>
    <r>
      <rPr>
        <sz val="10"/>
        <rFont val="Noto Sans CJK SC"/>
        <family val="2"/>
      </rPr>
      <t xml:space="preserve">길이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말투 조절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구글 문서로 내보내기</t>
    </r>
  </si>
  <si>
    <r>
      <rPr>
        <sz val="10"/>
        <rFont val="맑은 고딕"/>
        <family val="0"/>
        <charset val="1"/>
      </rPr>
      <t xml:space="preserve">[ ] </t>
    </r>
    <r>
      <rPr>
        <sz val="10"/>
        <rFont val="Noto Sans CJK SC"/>
        <family val="2"/>
      </rPr>
      <t xml:space="preserve">빈칸을 사람이 실제 숫자로 채우기</t>
    </r>
  </si>
  <si>
    <t xml:space="preserve">②</t>
  </si>
  <si>
    <t xml:space="preserve">코드</t>
  </si>
  <si>
    <r>
      <rPr>
        <sz val="10"/>
        <rFont val="Noto Sans CJK SC"/>
        <family val="2"/>
      </rPr>
      <t xml:space="preserve">첨부한 엑셀은 우리 법인의 </t>
    </r>
    <r>
      <rPr>
        <sz val="10"/>
        <rFont val="맑은 고딕"/>
        <family val="0"/>
        <charset val="1"/>
      </rPr>
      <t xml:space="preserve">1~9</t>
    </r>
    <r>
      <rPr>
        <sz val="10"/>
        <rFont val="Noto Sans CJK SC"/>
        <family val="2"/>
      </rPr>
      <t xml:space="preserve">월 사업 실적이야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운영위원회 발표용 대시보드를 웹페이지로 만들어 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위에 핵심 숫자 카드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월별 참여 추이 그래프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팀별 달성률 막대그래프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예산 집행률 표를 넣고 계산 방법도 적어 줘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</si>
  <si>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사업팀 선택 버튼 추가해 줘</t>
    </r>
    <r>
      <rPr>
        <sz val="10"/>
        <rFont val="맑은 고딕"/>
        <family val="0"/>
        <charset val="1"/>
      </rPr>
      <t xml:space="preserve">" / "</t>
    </r>
    <r>
      <rPr>
        <sz val="10"/>
        <rFont val="Noto Sans CJK SC"/>
        <family val="2"/>
      </rPr>
      <t xml:space="preserve">발표용으로 글자 크게</t>
    </r>
    <r>
      <rPr>
        <sz val="10"/>
        <rFont val="맑은 고딕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</si>
  <si>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실참여 연인원 </t>
    </r>
    <r>
      <rPr>
        <sz val="10"/>
        <rFont val="맑은 고딕"/>
        <family val="0"/>
        <charset val="1"/>
      </rPr>
      <t xml:space="preserve">10,611</t>
    </r>
    <r>
      <rPr>
        <sz val="10"/>
        <rFont val="Noto Sans CJK SC"/>
        <family val="2"/>
      </rPr>
      <t xml:space="preserve">명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예산 집행률 </t>
    </r>
    <r>
      <rPr>
        <sz val="10"/>
        <rFont val="맑은 고딕"/>
        <family val="0"/>
        <charset val="1"/>
      </rPr>
      <t xml:space="preserve">77.2%</t>
    </r>
  </si>
  <si>
    <t xml:space="preserve">③</t>
  </si>
  <si>
    <t xml:space="preserve">첨삭</t>
  </si>
  <si>
    <r>
      <rPr>
        <sz val="10"/>
        <rFont val="Noto Sans CJK SC"/>
        <family val="2"/>
      </rPr>
      <t xml:space="preserve">아래는 내가 쓴 운영위원회 보고 문단이야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캔버스에 올리고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고칠 곳마다 메모로 이유와 수정안을 달아 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원문은 지우지 말고 과장 표현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근거 없는 주장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빠진 수치를 중심으로 봐 줘</t>
    </r>
    <r>
      <rPr>
        <sz val="10"/>
        <rFont val="맑은 고딕"/>
        <family val="0"/>
        <charset val="1"/>
      </rPr>
      <t xml:space="preserve">. (</t>
    </r>
    <r>
      <rPr>
        <sz val="10"/>
        <rFont val="Noto Sans CJK SC"/>
        <family val="2"/>
      </rPr>
      <t xml:space="preserve">이 뒤에 아래 첨삭용 원문 붙여넣기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</si>
  <si>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수정본 전체 다시 보여 줘</t>
    </r>
    <r>
      <rPr>
        <sz val="10"/>
        <rFont val="맑은 고딕"/>
        <family val="0"/>
        <charset val="1"/>
      </rPr>
      <t xml:space="preserve">" / </t>
    </r>
    <r>
      <rPr>
        <sz val="10"/>
        <rFont val="Noto Sans CJK SC"/>
        <family val="2"/>
      </rPr>
      <t xml:space="preserve">메모가 안 되면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원문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수정안 표로</t>
    </r>
    <r>
      <rPr>
        <sz val="10"/>
        <rFont val="맑은 고딕"/>
        <family val="0"/>
        <charset val="1"/>
      </rPr>
      <t xml:space="preserve">"</t>
    </r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</si>
  <si>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 만족도 하락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예산 집행률을 숨기지 않았는지</t>
    </r>
  </si>
  <si>
    <t xml:space="preserve">④</t>
  </si>
  <si>
    <t xml:space="preserve">표</t>
  </si>
  <si>
    <r>
      <rPr>
        <sz val="10"/>
        <rFont val="Noto Sans CJK SC"/>
        <family val="2"/>
      </rPr>
      <t xml:space="preserve">다하 어르신 프로그램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가지 안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노래교실 확대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스마트폰 교실 신설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동네 걷기 모임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을 대상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준비 인력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필요 예산 항목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장점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단점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위험 요소로 비교하는 표를 캔버스에 만들어 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금액과 통계는 쓰지 말고 항목만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</si>
  <si>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열 순서를 장점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단점 먼저로</t>
    </r>
    <r>
      <rPr>
        <sz val="10"/>
        <rFont val="맑은 고딕"/>
        <family val="0"/>
        <charset val="1"/>
      </rPr>
      <t xml:space="preserve">" / "</t>
    </r>
    <r>
      <rPr>
        <sz val="10"/>
        <rFont val="Noto Sans CJK SC"/>
        <family val="2"/>
      </rPr>
      <t xml:space="preserve">우리 기관에 맞는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안과 이유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줄</t>
    </r>
    <r>
      <rPr>
        <sz val="10"/>
        <rFont val="맑은 고딕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</si>
  <si>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근거 없는 금액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통계 없는지</t>
    </r>
  </si>
  <si>
    <t xml:space="preserve">⑤</t>
  </si>
  <si>
    <t xml:space="preserve">기획</t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</si>
  <si>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월 다하 송년 나눔 행사 아이디어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개를 캔버스에 목록으로 정리해 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그다음 어르신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아동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봉사자가 함께할 수 있는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개를 골라 각각 목적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대상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일정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준비물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역할 분담으로 기획안 개요를 써 줘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</si>
  <si>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이것만 자세히</t>
    </r>
    <r>
      <rPr>
        <sz val="10"/>
        <rFont val="맑은 고딕"/>
        <family val="0"/>
        <charset val="1"/>
      </rPr>
      <t xml:space="preserve">" / "</t>
    </r>
    <r>
      <rPr>
        <sz val="10"/>
        <rFont val="Noto Sans CJK SC"/>
        <family val="2"/>
      </rPr>
      <t xml:space="preserve">준비 체크리스트 표 추가</t>
    </r>
    <r>
      <rPr>
        <sz val="10"/>
        <rFont val="맑은 고딕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</si>
  <si>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장소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예산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날짜는 담당자 확인</t>
    </r>
  </si>
  <si>
    <r>
      <rPr>
        <b val="true"/>
        <sz val="12"/>
        <color rgb="FF1D3969"/>
        <rFont val="Noto Sans CJK SC"/>
        <family val="2"/>
      </rPr>
      <t xml:space="preserve">③ 첨삭용 원문 </t>
    </r>
    <r>
      <rPr>
        <b val="true"/>
        <sz val="12"/>
        <color rgb="FF1D3969"/>
        <rFont val="맑은 고딕"/>
        <family val="0"/>
        <charset val="1"/>
      </rPr>
      <t xml:space="preserve">(</t>
    </r>
    <r>
      <rPr>
        <b val="true"/>
        <sz val="12"/>
        <color rgb="FF1D3969"/>
        <rFont val="Noto Sans CJK SC"/>
        <family val="2"/>
      </rPr>
      <t xml:space="preserve">일부러 문제가 있게 쓴 가상 문단 </t>
    </r>
    <r>
      <rPr>
        <b val="true"/>
        <sz val="12"/>
        <color rgb="FF1D3969"/>
        <rFont val="맑은 고딕"/>
        <family val="0"/>
        <charset val="1"/>
      </rPr>
      <t xml:space="preserve">· </t>
    </r>
    <r>
      <rPr>
        <b val="true"/>
        <sz val="12"/>
        <color rgb="FF1D3969"/>
        <rFont val="Noto Sans CJK SC"/>
        <family val="2"/>
      </rPr>
      <t xml:space="preserve">그대로 복사</t>
    </r>
    <r>
      <rPr>
        <b val="true"/>
        <sz val="12"/>
        <color rgb="FF1D3969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</si>
  <si>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이번 분기 노래교실은 어르신들의 큰 호응 속에 성공적으로 운영되었으며 참여자 모두가 매우 만족하였음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강사 교체가 있었지만 별 문제는 없었고 앞으로도 계속 잘 운영할 예정임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반찬 나눔은 후원이 많이 들어와서 아주 잘 되었고 예산도 거의 다 썼음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체험활동은 날씨 때문에 못 한 것도 있었지만 아이들이 정말 좋아했음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전체적으로 모든 사업이 계획대로 잘 진행되었으며 특별한 문제점은 없었음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</si>
  <si>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5"/>
        <color rgb="FF1D3969"/>
        <rFont val="Noto Sans CJK SC"/>
        <family val="2"/>
      </rPr>
      <t xml:space="preserve">프로그램별 월간 실적 </t>
    </r>
    <r>
      <rPr>
        <b val="true"/>
        <sz val="15"/>
        <color rgb="FF1D3969"/>
        <rFont val="맑은 고딕"/>
        <family val="0"/>
        <charset val="1"/>
      </rPr>
      <t xml:space="preserve">(2026.1~9)</t>
    </r>
  </si>
  <si>
    <r>
      <rPr>
        <sz val="10"/>
        <color rgb="FF6B7280"/>
        <rFont val="Noto Sans CJK SC"/>
        <family val="2"/>
      </rPr>
      <t xml:space="preserve">연인원 </t>
    </r>
    <r>
      <rPr>
        <sz val="10"/>
        <color rgb="FF6B7280"/>
        <rFont val="맑은 고딕"/>
        <family val="0"/>
        <charset val="1"/>
      </rPr>
      <t xml:space="preserve">= </t>
    </r>
    <r>
      <rPr>
        <sz val="10"/>
        <color rgb="FF6B7280"/>
        <rFont val="Noto Sans CJK SC"/>
        <family val="2"/>
      </rPr>
      <t xml:space="preserve">회기마다 참여한 인원을 모두 더한 값 </t>
    </r>
    <r>
      <rPr>
        <sz val="10"/>
        <color rgb="FF6B7280"/>
        <rFont val="맑은 고딕"/>
        <family val="0"/>
        <charset val="1"/>
      </rPr>
      <t xml:space="preserve">· </t>
    </r>
    <r>
      <rPr>
        <sz val="10"/>
        <color rgb="FF6B7280"/>
        <rFont val="Noto Sans CJK SC"/>
        <family val="2"/>
      </rPr>
      <t xml:space="preserve">달성률은 수식</t>
    </r>
  </si>
  <si>
    <r>
      <rPr>
        <b val="true"/>
        <sz val="10"/>
        <color rgb="FFB91C1C"/>
        <rFont val="Noto Sans CJK SC"/>
        <family val="2"/>
      </rPr>
      <t xml:space="preserve">※ 실습용 원본 데이터 </t>
    </r>
    <r>
      <rPr>
        <b val="true"/>
        <sz val="10"/>
        <color rgb="FFB91C1C"/>
        <rFont val="맑은 고딕"/>
        <family val="0"/>
        <charset val="1"/>
      </rPr>
      <t xml:space="preserve">· </t>
    </r>
    <r>
      <rPr>
        <b val="true"/>
        <sz val="10"/>
        <color rgb="FFB91C1C"/>
        <rFont val="Noto Sans CJK SC"/>
        <family val="2"/>
      </rPr>
      <t xml:space="preserve">고치지 말고 그대로 올리기</t>
    </r>
  </si>
  <si>
    <t xml:space="preserve">월</t>
  </si>
  <si>
    <t xml:space="preserve">사업팀</t>
  </si>
  <si>
    <t xml:space="preserve">프로그램</t>
  </si>
  <si>
    <t xml:space="preserve">계획 회기</t>
  </si>
  <si>
    <t xml:space="preserve">실시 회기</t>
  </si>
  <si>
    <t xml:space="preserve">계획 연인원</t>
  </si>
  <si>
    <t xml:space="preserve">실참여 연인원</t>
  </si>
  <si>
    <t xml:space="preserve">신규 참여자</t>
  </si>
  <si>
    <r>
      <rPr>
        <b val="true"/>
        <sz val="10"/>
        <color rgb="FFFFFFFF"/>
        <rFont val="Noto Sans CJK SC"/>
        <family val="2"/>
      </rPr>
      <t xml:space="preserve">만족도</t>
    </r>
    <r>
      <rPr>
        <b val="true"/>
        <sz val="10"/>
        <color rgb="FFFFFFFF"/>
        <rFont val="맑은 고딕"/>
        <family val="0"/>
        <charset val="1"/>
      </rPr>
      <t xml:space="preserve">(5</t>
    </r>
    <r>
      <rPr>
        <b val="true"/>
        <sz val="10"/>
        <color rgb="FFFFFFFF"/>
        <rFont val="Noto Sans CJK SC"/>
        <family val="2"/>
      </rPr>
      <t xml:space="preserve">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</si>
  <si>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회기 달성률</t>
  </si>
  <si>
    <t xml:space="preserve">인원 달성률</t>
  </si>
  <si>
    <t xml:space="preserve">비고</t>
  </si>
  <si>
    <t xml:space="preserve">2026-01</t>
  </si>
  <si>
    <t xml:space="preserve">노인복지팀</t>
  </si>
  <si>
    <t xml:space="preserve">어르신 노래교실</t>
  </si>
  <si>
    <t xml:space="preserve">건강 체조교실</t>
  </si>
  <si>
    <t xml:space="preserve">지역복지팀</t>
  </si>
  <si>
    <t xml:space="preserve">독거어르신 말벗 방문</t>
  </si>
  <si>
    <t xml:space="preserve">반찬 나눔</t>
  </si>
  <si>
    <t xml:space="preserve">아동청소년팀</t>
  </si>
  <si>
    <t xml:space="preserve">방과후 학습지원</t>
  </si>
  <si>
    <t xml:space="preserve">주말 체험활동</t>
  </si>
  <si>
    <t xml:space="preserve">2026-02</t>
  </si>
  <si>
    <r>
      <rPr>
        <sz val="10"/>
        <rFont val="Noto Sans CJK SC"/>
        <family val="2"/>
      </rPr>
      <t xml:space="preserve">설 연휴로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회기 휴강</t>
    </r>
  </si>
  <si>
    <t xml:space="preserve">2026-03</t>
  </si>
  <si>
    <t xml:space="preserve">2026-04</t>
  </si>
  <si>
    <t xml:space="preserve">2026-05</t>
  </si>
  <si>
    <t xml:space="preserve">후원 물품 증가</t>
  </si>
  <si>
    <t xml:space="preserve">2026-06</t>
  </si>
  <si>
    <t xml:space="preserve">2026-07</t>
  </si>
  <si>
    <r>
      <rPr>
        <sz val="10"/>
        <rFont val="Noto Sans CJK SC"/>
        <family val="2"/>
      </rPr>
      <t xml:space="preserve">폭염으로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취소</t>
    </r>
  </si>
  <si>
    <t xml:space="preserve">2026-08</t>
  </si>
  <si>
    <t xml:space="preserve">강사 교체</t>
  </si>
  <si>
    <t xml:space="preserve">2026-09</t>
  </si>
  <si>
    <t xml:space="preserve">추석 연휴 휴강</t>
  </si>
  <si>
    <t xml:space="preserve">합계</t>
  </si>
  <si>
    <r>
      <rPr>
        <b val="true"/>
        <sz val="15"/>
        <color rgb="FF1D3969"/>
        <rFont val="Noto Sans CJK SC"/>
        <family val="2"/>
      </rPr>
      <t xml:space="preserve">세부 항목별 예산 집행 </t>
    </r>
    <r>
      <rPr>
        <b val="true"/>
        <sz val="15"/>
        <color rgb="FF1D3969"/>
        <rFont val="맑은 고딕"/>
        <family val="0"/>
        <charset val="1"/>
      </rPr>
      <t xml:space="preserve">(</t>
    </r>
    <r>
      <rPr>
        <b val="true"/>
        <sz val="15"/>
        <color rgb="FF1D3969"/>
        <rFont val="Noto Sans CJK SC"/>
        <family val="2"/>
      </rPr>
      <t xml:space="preserve">단위</t>
    </r>
    <r>
      <rPr>
        <b val="true"/>
        <sz val="15"/>
        <color rgb="FF1D3969"/>
        <rFont val="맑은 고딕"/>
        <family val="0"/>
        <charset val="1"/>
      </rPr>
      <t xml:space="preserve">: </t>
    </r>
    <r>
      <rPr>
        <b val="true"/>
        <sz val="15"/>
        <color rgb="FF1D3969"/>
        <rFont val="Noto Sans CJK SC"/>
        <family val="2"/>
      </rPr>
      <t xml:space="preserve">원</t>
    </r>
    <r>
      <rPr>
        <b val="true"/>
        <sz val="15"/>
        <color rgb="FF1D3969"/>
        <rFont val="맑은 고딕"/>
        <family val="0"/>
        <charset val="1"/>
      </rPr>
      <t xml:space="preserve">)</t>
    </r>
  </si>
  <si>
    <r>
      <rPr>
        <sz val="10"/>
        <color rgb="FF6B7280"/>
        <rFont val="Noto Sans CJK SC"/>
        <family val="2"/>
      </rPr>
      <t xml:space="preserve">연간 예산 대비 </t>
    </r>
    <r>
      <rPr>
        <sz val="10"/>
        <color rgb="FF6B7280"/>
        <rFont val="맑은 고딕"/>
        <family val="0"/>
        <charset val="1"/>
      </rPr>
      <t xml:space="preserve">1~9</t>
    </r>
    <r>
      <rPr>
        <sz val="10"/>
        <color rgb="FF6B7280"/>
        <rFont val="Noto Sans CJK SC"/>
        <family val="2"/>
      </rPr>
      <t xml:space="preserve">월 누적 집행 </t>
    </r>
    <r>
      <rPr>
        <sz val="10"/>
        <color rgb="FF6B7280"/>
        <rFont val="맑은 고딕"/>
        <family val="0"/>
        <charset val="1"/>
      </rPr>
      <t xml:space="preserve">· </t>
    </r>
    <r>
      <rPr>
        <sz val="10"/>
        <color rgb="FF6B7280"/>
        <rFont val="Noto Sans CJK SC"/>
        <family val="2"/>
      </rPr>
      <t xml:space="preserve">집행률</t>
    </r>
    <r>
      <rPr>
        <sz val="10"/>
        <color rgb="FF6B7280"/>
        <rFont val="맑은 고딕"/>
        <family val="0"/>
        <charset val="1"/>
      </rPr>
      <t xml:space="preserve">·</t>
    </r>
    <r>
      <rPr>
        <sz val="10"/>
        <color rgb="FF6B7280"/>
        <rFont val="Noto Sans CJK SC"/>
        <family val="2"/>
      </rPr>
      <t xml:space="preserve">잔액은 수식</t>
    </r>
  </si>
  <si>
    <t xml:space="preserve">관</t>
  </si>
  <si>
    <t xml:space="preserve">항목</t>
  </si>
  <si>
    <t xml:space="preserve">연간 예산</t>
  </si>
  <si>
    <r>
      <rPr>
        <b val="true"/>
        <sz val="10"/>
        <color rgb="FFFFFFFF"/>
        <rFont val="맑은 고딕"/>
        <family val="0"/>
        <charset val="1"/>
      </rPr>
      <t xml:space="preserve">01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</si>
  <si>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02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</si>
  <si>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03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</si>
  <si>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04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</si>
  <si>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05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</si>
  <si>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06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</si>
  <si>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07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</si>
  <si>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08</t>
    </r>
    <r>
      <rPr>
        <b val="true"/>
        <sz val="10"/>
        <color rgb="FFFFFFFF"/>
        <rFont val="Noto Sans CJK SC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</si>
  <si>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09</t>
    </r>
    <r>
      <rPr>
        <b val="true"/>
        <sz val="10"/>
        <color rgb="FFFFFFFF"/>
        <rFont val="Noto Sans CJK SC"/>
        <family val="2"/>
      </rPr>
      <t xml:space="preserve">월</t>
    </r>
  </si>
  <si>
    <t xml:space="preserve">누적 집행</t>
  </si>
  <si>
    <t xml:space="preserve">잔액</t>
  </si>
  <si>
    <t xml:space="preserve">집행률</t>
  </si>
  <si>
    <t xml:space="preserve">인건비</t>
  </si>
  <si>
    <t xml:space="preserve">기본급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</si>
  <si>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대보험 기관부담</t>
    </r>
  </si>
  <si>
    <t xml:space="preserve">사업비</t>
  </si>
  <si>
    <t xml:space="preserve">노래교실 강사비</t>
  </si>
  <si>
    <t xml:space="preserve">체조교실 운영비</t>
  </si>
  <si>
    <t xml:space="preserve">말벗 방문 교통비</t>
  </si>
  <si>
    <t xml:space="preserve">반찬 나눔 재료비</t>
  </si>
  <si>
    <t xml:space="preserve">방과후 학습교재</t>
  </si>
  <si>
    <t xml:space="preserve">주말 체험활동비</t>
  </si>
  <si>
    <t xml:space="preserve">운영비</t>
  </si>
  <si>
    <t xml:space="preserve">공공요금</t>
  </si>
  <si>
    <t xml:space="preserve">차량 유지비</t>
  </si>
  <si>
    <t xml:space="preserve">사무용품</t>
  </si>
  <si>
    <t xml:space="preserve">후원금</t>
  </si>
  <si>
    <t xml:space="preserve">지정후원 물품 구입</t>
  </si>
  <si>
    <r>
      <rPr>
        <sz val="10"/>
        <color rgb="FF6B7280"/>
        <rFont val="Noto Sans CJK SC"/>
        <family val="2"/>
      </rPr>
      <t xml:space="preserve">참고</t>
    </r>
    <r>
      <rPr>
        <sz val="10"/>
        <color rgb="FF6B7280"/>
        <rFont val="맑은 고딕"/>
        <family val="0"/>
        <charset val="1"/>
      </rPr>
      <t xml:space="preserve">: 9</t>
    </r>
    <r>
      <rPr>
        <sz val="10"/>
        <color rgb="FF6B7280"/>
        <rFont val="Noto Sans CJK SC"/>
        <family val="2"/>
      </rPr>
      <t xml:space="preserve">월 말 기준 적정 집행률은 약 </t>
    </r>
    <r>
      <rPr>
        <sz val="10"/>
        <color rgb="FF6B7280"/>
        <rFont val="맑은 고딕"/>
        <family val="0"/>
        <charset val="1"/>
      </rPr>
      <t xml:space="preserve">75% (9/12)</t>
    </r>
  </si>
  <si>
    <r>
      <rPr>
        <b val="true"/>
        <sz val="15"/>
        <color rgb="FF1D3969"/>
        <rFont val="Noto Sans CJK SC"/>
        <family val="2"/>
      </rPr>
      <t xml:space="preserve">등록 이용자 현황 </t>
    </r>
    <r>
      <rPr>
        <b val="true"/>
        <sz val="15"/>
        <color rgb="FF1D3969"/>
        <rFont val="맑은 고딕"/>
        <family val="0"/>
        <charset val="1"/>
      </rPr>
      <t xml:space="preserve">(</t>
    </r>
    <r>
      <rPr>
        <b val="true"/>
        <sz val="15"/>
        <color rgb="FF1D3969"/>
        <rFont val="Noto Sans CJK SC"/>
        <family val="2"/>
      </rPr>
      <t xml:space="preserve">가명 </t>
    </r>
    <r>
      <rPr>
        <b val="true"/>
        <sz val="15"/>
        <color rgb="FF1D3969"/>
        <rFont val="맑은 고딕"/>
        <family val="0"/>
        <charset val="1"/>
      </rPr>
      <t xml:space="preserve">ID)</t>
    </r>
  </si>
  <si>
    <r>
      <rPr>
        <sz val="10"/>
        <color rgb="FF6B7280"/>
        <rFont val="Noto Sans CJK SC"/>
        <family val="2"/>
      </rPr>
      <t xml:space="preserve">개인정보 없음 </t>
    </r>
    <r>
      <rPr>
        <sz val="10"/>
        <color rgb="FF6B7280"/>
        <rFont val="맑은 고딕"/>
        <family val="0"/>
        <charset val="1"/>
      </rPr>
      <t xml:space="preserve">· ID</t>
    </r>
    <r>
      <rPr>
        <sz val="10"/>
        <color rgb="FF6B7280"/>
        <rFont val="Noto Sans CJK SC"/>
        <family val="2"/>
      </rPr>
      <t xml:space="preserve">는 실습용 일련번호</t>
    </r>
  </si>
  <si>
    <r>
      <rPr>
        <b val="true"/>
        <sz val="10"/>
        <color rgb="FFFFFFFF"/>
        <rFont val="Noto Sans CJK SC"/>
        <family val="2"/>
      </rPr>
      <t xml:space="preserve">이용자 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</si>
  <si>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연령대</t>
  </si>
  <si>
    <t xml:space="preserve">성별</t>
  </si>
  <si>
    <t xml:space="preserve">거주 지역</t>
  </si>
  <si>
    <t xml:space="preserve">가구 형태</t>
  </si>
  <si>
    <t xml:space="preserve">이용 서비스</t>
  </si>
  <si>
    <t xml:space="preserve">등록월</t>
  </si>
  <si>
    <t xml:space="preserve">상태</t>
  </si>
  <si>
    <t xml:space="preserve">종결 사유</t>
  </si>
  <si>
    <t xml:space="preserve">D26-001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</si>
  <si>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대</t>
    </r>
  </si>
  <si>
    <t xml:space="preserve">여</t>
  </si>
  <si>
    <t xml:space="preserve">남현동</t>
  </si>
  <si>
    <t xml:space="preserve">한부모</t>
  </si>
  <si>
    <t xml:space="preserve">이용중</t>
  </si>
  <si>
    <t xml:space="preserve">D26-002</t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</si>
  <si>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세 미만</t>
    </r>
  </si>
  <si>
    <t xml:space="preserve">남</t>
  </si>
  <si>
    <t xml:space="preserve">봉양읍</t>
  </si>
  <si>
    <t xml:space="preserve">D26-003</t>
  </si>
  <si>
    <t xml:space="preserve">화산동</t>
  </si>
  <si>
    <t xml:space="preserve">조손</t>
  </si>
  <si>
    <t xml:space="preserve">종결</t>
  </si>
  <si>
    <t xml:space="preserve">건강 악화로 입원</t>
  </si>
  <si>
    <t xml:space="preserve">D26-004</t>
  </si>
  <si>
    <r>
      <rPr>
        <sz val="10"/>
        <rFont val="맑은 고딕"/>
        <family val="0"/>
        <charset val="1"/>
      </rPr>
      <t xml:space="preserve">70</t>
    </r>
    <r>
      <rPr>
        <sz val="10"/>
        <rFont val="Noto Sans CJK SC"/>
        <family val="2"/>
      </rPr>
      <t xml:space="preserve">대</t>
    </r>
  </si>
  <si>
    <t xml:space="preserve">송학면</t>
  </si>
  <si>
    <t xml:space="preserve">독거</t>
  </si>
  <si>
    <t xml:space="preserve">D26-005</t>
  </si>
  <si>
    <r>
      <rPr>
        <sz val="10"/>
        <rFont val="맑은 고딕"/>
        <family val="0"/>
        <charset val="1"/>
      </rPr>
      <t xml:space="preserve">60</t>
    </r>
    <r>
      <rPr>
        <sz val="10"/>
        <rFont val="Noto Sans CJK SC"/>
        <family val="2"/>
      </rPr>
      <t xml:space="preserve">대</t>
    </r>
  </si>
  <si>
    <t xml:space="preserve">한수면</t>
  </si>
  <si>
    <t xml:space="preserve">D26-006</t>
  </si>
  <si>
    <t xml:space="preserve">양부모</t>
  </si>
  <si>
    <t xml:space="preserve">D26-007</t>
  </si>
  <si>
    <t xml:space="preserve">덕산면</t>
  </si>
  <si>
    <t xml:space="preserve">D26-008</t>
  </si>
  <si>
    <t xml:space="preserve">의림지동</t>
  </si>
  <si>
    <t xml:space="preserve">D26-009</t>
  </si>
  <si>
    <t xml:space="preserve">청전동</t>
  </si>
  <si>
    <t xml:space="preserve">자녀 동거</t>
  </si>
  <si>
    <t xml:space="preserve">이사</t>
  </si>
  <si>
    <t xml:space="preserve">D26-010</t>
  </si>
  <si>
    <r>
      <rPr>
        <sz val="10"/>
        <rFont val="맑은 고딕"/>
        <family val="0"/>
        <charset val="1"/>
      </rPr>
      <t xml:space="preserve">80</t>
    </r>
    <r>
      <rPr>
        <sz val="10"/>
        <rFont val="Noto Sans CJK SC"/>
        <family val="2"/>
      </rPr>
      <t xml:space="preserve">대</t>
    </r>
  </si>
  <si>
    <t xml:space="preserve">금성면</t>
  </si>
  <si>
    <t xml:space="preserve">D26-011</t>
  </si>
  <si>
    <t xml:space="preserve">D26-012</t>
  </si>
  <si>
    <t xml:space="preserve">영서동</t>
  </si>
  <si>
    <t xml:space="preserve">D26-013</t>
  </si>
  <si>
    <t xml:space="preserve">D26-014</t>
  </si>
  <si>
    <t xml:space="preserve">교동</t>
  </si>
  <si>
    <t xml:space="preserve">D26-015</t>
  </si>
  <si>
    <t xml:space="preserve">용두동</t>
  </si>
  <si>
    <t xml:space="preserve">D26-016</t>
  </si>
  <si>
    <t xml:space="preserve">D26-017</t>
  </si>
  <si>
    <t xml:space="preserve">D26-018</t>
  </si>
  <si>
    <t xml:space="preserve">D26-019</t>
  </si>
  <si>
    <t xml:space="preserve">목표 달성</t>
  </si>
  <si>
    <t xml:space="preserve">D26-020</t>
  </si>
  <si>
    <t xml:space="preserve">D26-021</t>
  </si>
  <si>
    <t xml:space="preserve">D26-022</t>
  </si>
  <si>
    <t xml:space="preserve">D26-023</t>
  </si>
  <si>
    <t xml:space="preserve">D26-024</t>
  </si>
  <si>
    <t xml:space="preserve">신백동</t>
  </si>
  <si>
    <t xml:space="preserve">D26-025</t>
  </si>
  <si>
    <t xml:space="preserve">D26-026</t>
  </si>
  <si>
    <t xml:space="preserve">D26-027</t>
  </si>
  <si>
    <t xml:space="preserve">D26-028</t>
  </si>
  <si>
    <t xml:space="preserve">타 기관 연계</t>
  </si>
  <si>
    <t xml:space="preserve">D26-029</t>
  </si>
  <si>
    <t xml:space="preserve">D26-030</t>
  </si>
  <si>
    <t xml:space="preserve">D26-031</t>
  </si>
  <si>
    <t xml:space="preserve">D26-032</t>
  </si>
  <si>
    <t xml:space="preserve">D26-033</t>
  </si>
  <si>
    <t xml:space="preserve">D26-034</t>
  </si>
  <si>
    <t xml:space="preserve">D26-035</t>
  </si>
  <si>
    <t xml:space="preserve">수산면</t>
  </si>
  <si>
    <t xml:space="preserve">D26-036</t>
  </si>
  <si>
    <t xml:space="preserve">D26-037</t>
  </si>
  <si>
    <t xml:space="preserve">노인부부</t>
  </si>
  <si>
    <t xml:space="preserve">D26-038</t>
  </si>
  <si>
    <t xml:space="preserve">D26-039</t>
  </si>
  <si>
    <t xml:space="preserve">D26-040</t>
  </si>
  <si>
    <t xml:space="preserve">D26-041</t>
  </si>
  <si>
    <t xml:space="preserve">D26-042</t>
  </si>
  <si>
    <t xml:space="preserve">청풍면</t>
  </si>
  <si>
    <t xml:space="preserve">D26-043</t>
  </si>
  <si>
    <t xml:space="preserve">D26-044</t>
  </si>
  <si>
    <t xml:space="preserve">D26-045</t>
  </si>
  <si>
    <t xml:space="preserve">D26-046</t>
  </si>
  <si>
    <t xml:space="preserve">D26-047</t>
  </si>
  <si>
    <t xml:space="preserve">본인 거부</t>
  </si>
  <si>
    <t xml:space="preserve">D26-048</t>
  </si>
  <si>
    <t xml:space="preserve">D26-049</t>
  </si>
  <si>
    <t xml:space="preserve">D26-050</t>
  </si>
  <si>
    <t xml:space="preserve">D26-051</t>
  </si>
  <si>
    <t xml:space="preserve">D26-052</t>
  </si>
  <si>
    <t xml:space="preserve">D26-053</t>
  </si>
  <si>
    <t xml:space="preserve">백운면</t>
  </si>
  <si>
    <t xml:space="preserve">D26-054</t>
  </si>
  <si>
    <t xml:space="preserve">D26-055</t>
  </si>
  <si>
    <t xml:space="preserve">D26-056</t>
  </si>
  <si>
    <t xml:space="preserve">D26-057</t>
  </si>
  <si>
    <t xml:space="preserve">D26-058</t>
  </si>
  <si>
    <t xml:space="preserve">D26-059</t>
  </si>
  <si>
    <t xml:space="preserve">D26-060</t>
  </si>
  <si>
    <t xml:space="preserve">D26-061</t>
  </si>
  <si>
    <t xml:space="preserve">D26-062</t>
  </si>
  <si>
    <t xml:space="preserve">D26-063</t>
  </si>
  <si>
    <t xml:space="preserve">D26-064</t>
  </si>
  <si>
    <t xml:space="preserve">사망</t>
  </si>
  <si>
    <t xml:space="preserve">D26-065</t>
  </si>
  <si>
    <t xml:space="preserve">D26-066</t>
  </si>
  <si>
    <t xml:space="preserve">D26-067</t>
  </si>
  <si>
    <t xml:space="preserve">D26-068</t>
  </si>
  <si>
    <t xml:space="preserve">D26-069</t>
  </si>
  <si>
    <t xml:space="preserve">D26-070</t>
  </si>
  <si>
    <r>
      <rPr>
        <sz val="10"/>
        <rFont val="맑은 고딕"/>
        <family val="0"/>
        <charset val="1"/>
      </rPr>
      <t xml:space="preserve">90</t>
    </r>
    <r>
      <rPr>
        <sz val="10"/>
        <rFont val="Noto Sans CJK SC"/>
        <family val="2"/>
      </rPr>
      <t xml:space="preserve">대 이상</t>
    </r>
  </si>
  <si>
    <t xml:space="preserve">D26-071</t>
  </si>
  <si>
    <t xml:space="preserve">D26-072</t>
  </si>
  <si>
    <t xml:space="preserve">D26-073</t>
  </si>
  <si>
    <t xml:space="preserve">D26-074</t>
  </si>
  <si>
    <t xml:space="preserve">D26-075</t>
  </si>
  <si>
    <t xml:space="preserve">D26-076</t>
  </si>
  <si>
    <t xml:space="preserve">D26-077</t>
  </si>
  <si>
    <t xml:space="preserve">D26-078</t>
  </si>
  <si>
    <t xml:space="preserve">D26-079</t>
  </si>
  <si>
    <t xml:space="preserve">D26-080</t>
  </si>
  <si>
    <t xml:space="preserve">D26-081</t>
  </si>
  <si>
    <t xml:space="preserve">D26-082</t>
  </si>
  <si>
    <t xml:space="preserve">D26-083</t>
  </si>
  <si>
    <t xml:space="preserve">D26-084</t>
  </si>
  <si>
    <t xml:space="preserve">D26-085</t>
  </si>
  <si>
    <t xml:space="preserve">D26-086</t>
  </si>
  <si>
    <t xml:space="preserve">D26-087</t>
  </si>
  <si>
    <t xml:space="preserve">D26-088</t>
  </si>
  <si>
    <t xml:space="preserve">D26-089</t>
  </si>
  <si>
    <t xml:space="preserve">D26-090</t>
  </si>
  <si>
    <t xml:space="preserve">D26-091</t>
  </si>
  <si>
    <t xml:space="preserve">D26-092</t>
  </si>
  <si>
    <t xml:space="preserve">D26-093</t>
  </si>
  <si>
    <t xml:space="preserve">D26-094</t>
  </si>
  <si>
    <t xml:space="preserve">D26-095</t>
  </si>
  <si>
    <t xml:space="preserve">D26-096</t>
  </si>
  <si>
    <t xml:space="preserve">D26-097</t>
  </si>
  <si>
    <t xml:space="preserve">D26-098</t>
  </si>
  <si>
    <t xml:space="preserve">D26-099</t>
  </si>
  <si>
    <t xml:space="preserve">D26-100</t>
  </si>
  <si>
    <t xml:space="preserve">D26-101</t>
  </si>
  <si>
    <t xml:space="preserve">D26-102</t>
  </si>
  <si>
    <t xml:space="preserve">D26-103</t>
  </si>
  <si>
    <t xml:space="preserve">D26-104</t>
  </si>
  <si>
    <t xml:space="preserve">D26-105</t>
  </si>
  <si>
    <t xml:space="preserve">D26-106</t>
  </si>
  <si>
    <t xml:space="preserve">D26-107</t>
  </si>
  <si>
    <t xml:space="preserve">D26-108</t>
  </si>
  <si>
    <t xml:space="preserve">D26-109</t>
  </si>
  <si>
    <t xml:space="preserve">D26-110</t>
  </si>
  <si>
    <t xml:space="preserve">D26-111</t>
  </si>
  <si>
    <t xml:space="preserve">D26-112</t>
  </si>
  <si>
    <t xml:space="preserve">D26-113</t>
  </si>
  <si>
    <t xml:space="preserve">D26-114</t>
  </si>
  <si>
    <t xml:space="preserve">D26-115</t>
  </si>
  <si>
    <t xml:space="preserve">D26-116</t>
  </si>
  <si>
    <t xml:space="preserve">D26-117</t>
  </si>
  <si>
    <t xml:space="preserve">D26-118</t>
  </si>
  <si>
    <t xml:space="preserve">D26-119</t>
  </si>
  <si>
    <t xml:space="preserve">D26-120</t>
  </si>
  <si>
    <t xml:space="preserve">D26-121</t>
  </si>
  <si>
    <t xml:space="preserve">D26-122</t>
  </si>
  <si>
    <t xml:space="preserve">D26-123</t>
  </si>
  <si>
    <t xml:space="preserve">D26-124</t>
  </si>
  <si>
    <t xml:space="preserve">D26-125</t>
  </si>
  <si>
    <t xml:space="preserve">D26-126</t>
  </si>
  <si>
    <t xml:space="preserve">D26-127</t>
  </si>
  <si>
    <t xml:space="preserve">D26-128</t>
  </si>
  <si>
    <t xml:space="preserve">D26-129</t>
  </si>
  <si>
    <t xml:space="preserve">D26-130</t>
  </si>
  <si>
    <t xml:space="preserve">D26-131</t>
  </si>
  <si>
    <t xml:space="preserve">D26-132</t>
  </si>
  <si>
    <t xml:space="preserve">D26-133</t>
  </si>
  <si>
    <t xml:space="preserve">D26-134</t>
  </si>
  <si>
    <t xml:space="preserve">D26-135</t>
  </si>
  <si>
    <t xml:space="preserve">D26-136</t>
  </si>
  <si>
    <t xml:space="preserve">D26-137</t>
  </si>
  <si>
    <t xml:space="preserve">D26-138</t>
  </si>
  <si>
    <t xml:space="preserve">D26-139</t>
  </si>
  <si>
    <t xml:space="preserve">D26-140</t>
  </si>
  <si>
    <t xml:space="preserve">D26-141</t>
  </si>
  <si>
    <t xml:space="preserve">D26-142</t>
  </si>
  <si>
    <t xml:space="preserve">D26-143</t>
  </si>
  <si>
    <t xml:space="preserve">D26-144</t>
  </si>
  <si>
    <t xml:space="preserve">D26-145</t>
  </si>
  <si>
    <t xml:space="preserve">D26-146</t>
  </si>
  <si>
    <t xml:space="preserve">D26-147</t>
  </si>
  <si>
    <t xml:space="preserve">D26-148</t>
  </si>
  <si>
    <t xml:space="preserve">D26-149</t>
  </si>
  <si>
    <t xml:space="preserve">D26-150</t>
  </si>
  <si>
    <t xml:space="preserve">자원봉사 활동 실적</t>
  </si>
  <si>
    <r>
      <rPr>
        <sz val="10"/>
        <color rgb="FF6B7280"/>
        <rFont val="Noto Sans CJK SC"/>
        <family val="2"/>
      </rPr>
      <t xml:space="preserve">봉사 시간 단위</t>
    </r>
    <r>
      <rPr>
        <sz val="10"/>
        <color rgb="FF6B7280"/>
        <rFont val="맑은 고딕"/>
        <family val="0"/>
        <charset val="1"/>
      </rPr>
      <t xml:space="preserve">: </t>
    </r>
    <r>
      <rPr>
        <sz val="10"/>
        <color rgb="FF6B7280"/>
        <rFont val="Noto Sans CJK SC"/>
        <family val="2"/>
      </rPr>
      <t xml:space="preserve">시간 </t>
    </r>
    <r>
      <rPr>
        <sz val="10"/>
        <color rgb="FF6B7280"/>
        <rFont val="맑은 고딕"/>
        <family val="0"/>
        <charset val="1"/>
      </rPr>
      <t xml:space="preserve">· 1</t>
    </r>
    <r>
      <rPr>
        <sz val="10"/>
        <color rgb="FF6B7280"/>
        <rFont val="Noto Sans CJK SC"/>
        <family val="2"/>
      </rPr>
      <t xml:space="preserve">인당 평균은 수식</t>
    </r>
  </si>
  <si>
    <t xml:space="preserve">활동 분야</t>
  </si>
  <si>
    <r>
      <rPr>
        <b val="true"/>
        <sz val="10"/>
        <color rgb="FFFFFFFF"/>
        <rFont val="Noto Sans CJK SC"/>
        <family val="2"/>
      </rPr>
      <t xml:space="preserve">봉사자 수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</si>
  <si>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봉사 시간</t>
  </si>
  <si>
    <t xml:space="preserve">신규 봉사자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</si>
  <si>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인당 평균 시간</t>
    </r>
  </si>
  <si>
    <r>
      <rPr>
        <sz val="10"/>
        <rFont val="Noto Sans CJK SC"/>
        <family val="2"/>
      </rPr>
      <t xml:space="preserve">반찬 조리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배달</t>
    </r>
  </si>
  <si>
    <r>
      <rPr>
        <sz val="10"/>
        <rFont val="Noto Sans CJK SC"/>
        <family val="2"/>
      </rPr>
      <t xml:space="preserve">말벗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안부</t>
    </r>
  </si>
  <si>
    <t xml:space="preserve">학습 멘토링</t>
  </si>
  <si>
    <t xml:space="preserve">행사 지원</t>
  </si>
  <si>
    <t xml:space="preserve">프로그램 만족도 설문 원자료</t>
  </si>
  <si>
    <r>
      <rPr>
        <sz val="10"/>
        <color rgb="FF6B7280"/>
        <rFont val="맑은 고딕"/>
        <family val="0"/>
        <charset val="1"/>
      </rPr>
      <t xml:space="preserve">5</t>
    </r>
    <r>
      <rPr>
        <sz val="10"/>
        <color rgb="FF6B7280"/>
        <rFont val="Noto Sans CJK SC"/>
        <family val="2"/>
      </rPr>
      <t xml:space="preserve">점 척도 </t>
    </r>
    <r>
      <rPr>
        <sz val="10"/>
        <color rgb="FF6B7280"/>
        <rFont val="맑은 고딕"/>
        <family val="0"/>
        <charset val="1"/>
      </rPr>
      <t xml:space="preserve">· </t>
    </r>
    <r>
      <rPr>
        <sz val="10"/>
        <color rgb="FF6B7280"/>
        <rFont val="Noto Sans CJK SC"/>
        <family val="2"/>
      </rPr>
      <t xml:space="preserve">서술 응답은 원문 그대로 </t>
    </r>
    <r>
      <rPr>
        <sz val="10"/>
        <color rgb="FF6B7280"/>
        <rFont val="맑은 고딕"/>
        <family val="0"/>
        <charset val="1"/>
      </rPr>
      <t xml:space="preserve">(</t>
    </r>
    <r>
      <rPr>
        <sz val="10"/>
        <color rgb="FF6B7280"/>
        <rFont val="Noto Sans CJK SC"/>
        <family val="2"/>
      </rPr>
      <t xml:space="preserve">익명</t>
    </r>
    <r>
      <rPr>
        <sz val="10"/>
        <color rgb="FF6B7280"/>
        <rFont val="맑은 고딕"/>
        <family val="0"/>
        <charset val="1"/>
      </rPr>
      <t xml:space="preserve">)</t>
    </r>
  </si>
  <si>
    <t xml:space="preserve">응답번호</t>
  </si>
  <si>
    <t xml:space="preserve">응답월</t>
  </si>
  <si>
    <t xml:space="preserve">전반 만족</t>
  </si>
  <si>
    <r>
      <rPr>
        <b val="true"/>
        <sz val="10"/>
        <color rgb="FFFFFFFF"/>
        <rFont val="Noto Sans CJK SC"/>
        <family val="2"/>
      </rPr>
      <t xml:space="preserve">강사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담당자</t>
    </r>
  </si>
  <si>
    <r>
      <rPr>
        <b val="true"/>
        <sz val="10"/>
        <color rgb="FFFFFFFF"/>
        <rFont val="Noto Sans CJK SC"/>
        <family val="2"/>
      </rPr>
      <t xml:space="preserve">시간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장소</t>
    </r>
  </si>
  <si>
    <t xml:space="preserve">재참여 의향</t>
  </si>
  <si>
    <t xml:space="preserve">좋았던 점</t>
  </si>
  <si>
    <t xml:space="preserve">아쉬운 점</t>
  </si>
  <si>
    <t xml:space="preserve">몸이 가벼워졌다</t>
  </si>
  <si>
    <t xml:space="preserve">전화 와 주니 덜 외롭다</t>
  </si>
  <si>
    <t xml:space="preserve">날이 더워 힘들었다</t>
  </si>
  <si>
    <t xml:space="preserve">아이가 공부에 흥미가 생겼다</t>
  </si>
  <si>
    <t xml:space="preserve">계단이 힘들다</t>
  </si>
  <si>
    <t xml:space="preserve">반찬이 맛있고 정성스럽다</t>
  </si>
  <si>
    <t xml:space="preserve">횟수를 늘렸으면</t>
  </si>
  <si>
    <t xml:space="preserve">친구가 생겨서 좋았다</t>
  </si>
  <si>
    <t xml:space="preserve">집에만 있다가 나오니 좋다</t>
  </si>
  <si>
    <t xml:space="preserve">의자가 불편하다</t>
  </si>
  <si>
    <t xml:space="preserve">주차가 어렵다</t>
  </si>
  <si>
    <t xml:space="preserve">반찬 양이 조금 적다</t>
  </si>
  <si>
    <t xml:space="preserve">노래하니 기분이 좋아졌다</t>
  </si>
  <si>
    <t xml:space="preserve">선생님이 친절하다</t>
  </si>
  <si>
    <t xml:space="preserve">시간이 짧다</t>
  </si>
  <si>
    <t xml:space="preserve">평균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</si>
</sst>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0.0%"/>
    <numFmt numFmtId="168" formatCode="0.00"/>
    <numFmt numFmtId="169" formatCode="#,##0;[RED]\-#,##0"/>
    <numFmt numFmtId="170" formatCode="#,##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D3969"/>
      <name val="맑은 고딕"/>
      <family val="0"/>
      <charset val="1"/>
    </font>
    <font>
      <b val="true"/>
      <sz val="15"/>
      <color rgb="FF1D3969"/>
      <name val="Noto Sans CJK SC"/>
      <family val="2"/>
    </font>
    <font>
      <sz val="10"/>
      <color rgb="FF6B7280"/>
      <name val="Noto Sans CJK SC"/>
      <family val="2"/>
    </font>
    <font>
      <sz val="10"/>
      <color rgb="FF6B7280"/>
      <name val="맑은 고딕"/>
      <family val="0"/>
      <charset val="1"/>
    </font>
    <font>
      <b val="true"/>
      <sz val="13"/>
      <color rgb="FFB91C1C"/>
      <name val="Noto Sans CJK SC"/>
      <family val="2"/>
    </font>
    <font>
      <b val="true"/>
      <sz val="13"/>
      <color rgb="FFB91C1C"/>
      <name val="맑은 고딕"/>
      <family val="0"/>
      <charset val="1"/>
    </font>
    <font>
      <b val="true"/>
      <sz val="11"/>
      <color rgb="FFFFFFFF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2"/>
      <color rgb="FF1D3969"/>
      <name val="Noto Sans CJK SC"/>
      <family val="2"/>
    </font>
    <font>
      <b val="true"/>
      <sz val="10"/>
      <name val="Noto Sans CJK SC"/>
      <family val="2"/>
    </font>
    <font>
      <b val="true"/>
      <sz val="10"/>
      <color rgb="FFB91C1C"/>
      <name val="Noto Sans CJK SC"/>
      <family val="2"/>
    </font>
    <font>
      <b val="true"/>
      <sz val="10"/>
      <color rgb="FFB91C1C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맑은 고딕"/>
      <family val="0"/>
      <charset val="1"/>
    </font>
    <font>
      <b val="true"/>
      <sz val="12"/>
      <color rgb="FF1D3969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3969"/>
        <bgColor rgb="FF333399"/>
      </patternFill>
    </fill>
    <fill>
      <patternFill patternType="solid">
        <fgColor rgb="FFEEF2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6"/>
      </left>
      <right style="thin">
        <color rgb="FFC9D3E6"/>
      </right>
      <top style="thin">
        <color rgb="FFC9D3E6"/>
      </top>
      <bottom style="thin">
        <color rgb="FFC9D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D396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B"/>
      <rgbColor rgb="FFCCFFFF"/>
      <rgbColor rgb="FF660066"/>
      <rgbColor rgb="FFFF8080"/>
      <rgbColor rgb="FF0066CC"/>
      <rgbColor rgb="FFC9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D3969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969"/>
    <pageSetUpPr fitToPage="fals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10"/>
  </cols>
  <sheetData>
    <row r="1" customFormat="false" ht="23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0.1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</row>
    <row r="5" customFormat="false" ht="15" hidden="false" customHeight="false" outlineLevel="0" collapsed="false">
      <c r="A5" s="5" t="s">
        <v>6</v>
      </c>
      <c r="B5" s="5" t="s">
        <v>7</v>
      </c>
      <c r="C5" s="6" t="s">
        <v>8</v>
      </c>
    </row>
    <row r="6" customFormat="false" ht="15" hidden="false" customHeight="false" outlineLevel="0" collapsed="false">
      <c r="A6" s="5" t="s">
        <v>9</v>
      </c>
      <c r="B6" s="5" t="s">
        <v>10</v>
      </c>
      <c r="C6" s="6" t="s">
        <v>11</v>
      </c>
    </row>
    <row r="7" customFormat="false" ht="15" hidden="false" customHeight="false" outlineLevel="0" collapsed="false">
      <c r="A7" s="5" t="s">
        <v>12</v>
      </c>
      <c r="B7" s="5" t="s">
        <v>13</v>
      </c>
      <c r="C7" s="6" t="s">
        <v>14</v>
      </c>
    </row>
    <row r="8" customFormat="false" ht="15" hidden="false" customHeight="false" outlineLevel="0" collapsed="false">
      <c r="A8" s="5" t="s">
        <v>15</v>
      </c>
      <c r="B8" s="5" t="s">
        <v>16</v>
      </c>
      <c r="C8" s="6" t="s">
        <v>17</v>
      </c>
    </row>
    <row r="9" customFormat="false" ht="15" hidden="false" customHeight="false" outlineLevel="0" collapsed="false">
      <c r="A9" s="5" t="s">
        <v>18</v>
      </c>
      <c r="B9" s="5" t="s">
        <v>19</v>
      </c>
      <c r="C9" s="6" t="s">
        <v>20</v>
      </c>
    </row>
    <row r="11" customFormat="false" ht="15" hidden="false" customHeight="false" outlineLevel="0" collapsed="false">
      <c r="A11" s="7" t="s">
        <v>21</v>
      </c>
    </row>
    <row r="12" customFormat="false" ht="15" hidden="false" customHeight="false" outlineLevel="0" collapsed="false">
      <c r="A12" s="8" t="s">
        <v>22</v>
      </c>
    </row>
    <row r="13" customFormat="false" ht="15" hidden="false" customHeight="false" outlineLevel="0" collapsed="false">
      <c r="A13" s="8" t="s">
        <v>23</v>
      </c>
    </row>
    <row r="14" customFormat="false" ht="15" hidden="false" customHeight="false" outlineLevel="0" collapsed="false">
      <c r="A14" s="8" t="s">
        <v>24</v>
      </c>
    </row>
    <row r="15" customFormat="false" ht="15" hidden="false" customHeight="false" outlineLevel="0" collapsed="false">
      <c r="A15" s="8" t="s">
        <v>25</v>
      </c>
    </row>
    <row r="16" customFormat="false" ht="15" hidden="false" customHeight="false" outlineLevel="0" collapsed="false">
      <c r="A16" s="8" t="s">
        <v>26</v>
      </c>
    </row>
    <row r="17" customFormat="false" ht="15" hidden="false" customHeight="false" outlineLevel="0" collapsed="false">
      <c r="A17" s="8" t="s">
        <v>27</v>
      </c>
    </row>
    <row r="19" customFormat="false" ht="15" hidden="false" customHeight="false" outlineLevel="0" collapsed="false">
      <c r="A19" s="7" t="s">
        <v>28</v>
      </c>
    </row>
    <row r="20" customFormat="false" ht="75" hidden="false" customHeight="true" outlineLevel="0" collapsed="false">
      <c r="A20" s="9" t="s">
        <v>29</v>
      </c>
      <c r="B20" s="10" t="s">
        <v>30</v>
      </c>
      <c r="C20" s="10"/>
    </row>
    <row r="21" customFormat="false" ht="45" hidden="false" customHeight="true" outlineLevel="0" collapsed="false">
      <c r="A21" s="9" t="s">
        <v>31</v>
      </c>
      <c r="B21" s="10" t="s">
        <v>32</v>
      </c>
      <c r="C21" s="10"/>
    </row>
    <row r="22" customFormat="false" ht="45" hidden="false" customHeight="true" outlineLevel="0" collapsed="false">
      <c r="A22" s="9" t="s">
        <v>33</v>
      </c>
      <c r="B22" s="10" t="s">
        <v>34</v>
      </c>
      <c r="C22" s="10"/>
    </row>
    <row r="23" customFormat="false" ht="45" hidden="false" customHeight="true" outlineLevel="0" collapsed="false">
      <c r="A23" s="9" t="s">
        <v>35</v>
      </c>
      <c r="B23" s="10" t="s">
        <v>36</v>
      </c>
      <c r="C23" s="10"/>
    </row>
    <row r="25" customFormat="false" ht="15" hidden="false" customHeight="false" outlineLevel="0" collapsed="false">
      <c r="A25" s="11" t="s">
        <v>37</v>
      </c>
    </row>
  </sheetData>
  <mergeCells count="4">
    <mergeCell ref="B20:C20"/>
    <mergeCell ref="B21:C21"/>
    <mergeCell ref="B22:C22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969"/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40"/>
    <col collapsed="false" customWidth="true" hidden="false" outlineLevel="0" max="5" min="5" style="0" width="34"/>
  </cols>
  <sheetData>
    <row r="1" customFormat="false" ht="23.1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30" hidden="false" customHeight="true" outlineLevel="0" collapsed="false">
      <c r="A4" s="12" t="s">
        <v>40</v>
      </c>
      <c r="B4" s="12" t="s">
        <v>41</v>
      </c>
      <c r="C4" s="12" t="s">
        <v>28</v>
      </c>
      <c r="D4" s="12" t="s">
        <v>42</v>
      </c>
      <c r="E4" s="12" t="s">
        <v>43</v>
      </c>
    </row>
    <row r="5" customFormat="false" ht="109.5" hidden="false" customHeight="true" outlineLevel="0" collapsed="false">
      <c r="A5" s="13" t="s">
        <v>44</v>
      </c>
      <c r="B5" s="14" t="s">
        <v>45</v>
      </c>
      <c r="C5" s="10" t="s">
        <v>46</v>
      </c>
      <c r="D5" s="15" t="s">
        <v>47</v>
      </c>
      <c r="E5" s="15" t="s">
        <v>48</v>
      </c>
    </row>
    <row r="6" customFormat="false" ht="109.5" hidden="false" customHeight="true" outlineLevel="0" collapsed="false">
      <c r="A6" s="13" t="s">
        <v>49</v>
      </c>
      <c r="B6" s="14" t="s">
        <v>50</v>
      </c>
      <c r="C6" s="10" t="s">
        <v>51</v>
      </c>
      <c r="D6" s="15" t="s">
        <v>52</v>
      </c>
      <c r="E6" s="10" t="s">
        <v>53</v>
      </c>
    </row>
    <row r="7" customFormat="false" ht="109.5" hidden="false" customHeight="true" outlineLevel="0" collapsed="false">
      <c r="A7" s="13" t="s">
        <v>54</v>
      </c>
      <c r="B7" s="14" t="s">
        <v>55</v>
      </c>
      <c r="C7" s="10" t="s">
        <v>56</v>
      </c>
      <c r="D7" s="15" t="s">
        <v>57</v>
      </c>
      <c r="E7" s="15" t="s">
        <v>58</v>
      </c>
    </row>
    <row r="8" customFormat="false" ht="109.5" hidden="false" customHeight="true" outlineLevel="0" collapsed="false">
      <c r="A8" s="13" t="s">
        <v>59</v>
      </c>
      <c r="B8" s="14" t="s">
        <v>60</v>
      </c>
      <c r="C8" s="10" t="s">
        <v>61</v>
      </c>
      <c r="D8" s="15" t="s">
        <v>62</v>
      </c>
      <c r="E8" s="10" t="s">
        <v>63</v>
      </c>
    </row>
    <row r="9" customFormat="false" ht="109.5" hidden="false" customHeight="true" outlineLevel="0" collapsed="false">
      <c r="A9" s="13" t="s">
        <v>64</v>
      </c>
      <c r="B9" s="14" t="s">
        <v>65</v>
      </c>
      <c r="C9" s="15" t="s">
        <v>66</v>
      </c>
      <c r="D9" s="15" t="s">
        <v>67</v>
      </c>
      <c r="E9" s="10" t="s">
        <v>68</v>
      </c>
    </row>
    <row r="11" customFormat="false" ht="19.4" hidden="false" customHeight="false" outlineLevel="0" collapsed="false">
      <c r="A11" s="7" t="s">
        <v>69</v>
      </c>
    </row>
    <row r="12" customFormat="false" ht="79.5" hidden="false" customHeight="true" outlineLevel="0" collapsed="false">
      <c r="A12" s="10" t="s">
        <v>70</v>
      </c>
      <c r="B12" s="10"/>
      <c r="C12" s="10"/>
      <c r="D12" s="10"/>
      <c r="E12" s="10"/>
    </row>
  </sheetData>
  <mergeCells count="1"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969"/>
    <pageSetUpPr fitToPage="fals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9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1" min="10" style="0" width="11"/>
    <col collapsed="false" customWidth="true" hidden="false" outlineLevel="0" max="12" min="12" style="0" width="24"/>
  </cols>
  <sheetData>
    <row r="1" customFormat="false" ht="23.1" hidden="false" customHeight="false" outlineLevel="0" collapsed="false">
      <c r="A1" s="16" t="s">
        <v>71</v>
      </c>
    </row>
    <row r="2" customFormat="false" ht="15" hidden="false" customHeight="false" outlineLevel="0" collapsed="false">
      <c r="A2" s="2" t="s">
        <v>72</v>
      </c>
      <c r="E2" s="11" t="s">
        <v>73</v>
      </c>
    </row>
    <row r="4" customFormat="false" ht="30" hidden="false" customHeight="true" outlineLevel="0" collapsed="false">
      <c r="A4" s="12" t="s">
        <v>74</v>
      </c>
      <c r="B4" s="12" t="s">
        <v>75</v>
      </c>
      <c r="C4" s="12" t="s">
        <v>76</v>
      </c>
      <c r="D4" s="12" t="s">
        <v>77</v>
      </c>
      <c r="E4" s="12" t="s">
        <v>78</v>
      </c>
      <c r="F4" s="12" t="s">
        <v>79</v>
      </c>
      <c r="G4" s="12" t="s">
        <v>80</v>
      </c>
      <c r="H4" s="12" t="s">
        <v>81</v>
      </c>
      <c r="I4" s="12" t="s">
        <v>82</v>
      </c>
      <c r="J4" s="12" t="s">
        <v>83</v>
      </c>
      <c r="K4" s="12" t="s">
        <v>84</v>
      </c>
      <c r="L4" s="12" t="s">
        <v>85</v>
      </c>
    </row>
    <row r="5" customFormat="false" ht="15" hidden="false" customHeight="false" outlineLevel="0" collapsed="false">
      <c r="A5" s="6" t="s">
        <v>86</v>
      </c>
      <c r="B5" s="5" t="s">
        <v>87</v>
      </c>
      <c r="C5" s="5" t="s">
        <v>88</v>
      </c>
      <c r="D5" s="5" t="n">
        <v>4</v>
      </c>
      <c r="E5" s="5" t="n">
        <v>3</v>
      </c>
      <c r="F5" s="17" t="n">
        <v>60</v>
      </c>
      <c r="G5" s="17" t="n">
        <v>47</v>
      </c>
      <c r="H5" s="5" t="n">
        <v>4</v>
      </c>
      <c r="I5" s="18" t="n">
        <v>4.5</v>
      </c>
      <c r="J5" s="19" t="n">
        <f aca="false">IF(D5=0,"",E5/D5)</f>
        <v>0.75</v>
      </c>
      <c r="K5" s="19" t="n">
        <f aca="false">IF(F5=0,"",G5/F5)</f>
        <v>0.783333333333333</v>
      </c>
      <c r="L5" s="5"/>
    </row>
    <row r="6" customFormat="false" ht="15" hidden="false" customHeight="false" outlineLevel="0" collapsed="false">
      <c r="A6" s="6" t="s">
        <v>86</v>
      </c>
      <c r="B6" s="5" t="s">
        <v>87</v>
      </c>
      <c r="C6" s="5" t="s">
        <v>89</v>
      </c>
      <c r="D6" s="5" t="n">
        <v>8</v>
      </c>
      <c r="E6" s="5" t="n">
        <v>8</v>
      </c>
      <c r="F6" s="17" t="n">
        <v>144</v>
      </c>
      <c r="G6" s="17" t="n">
        <v>137</v>
      </c>
      <c r="H6" s="5" t="n">
        <v>3</v>
      </c>
      <c r="I6" s="18" t="n">
        <v>4.6</v>
      </c>
      <c r="J6" s="19" t="n">
        <f aca="false">IF(D6=0,"",E6/D6)</f>
        <v>1</v>
      </c>
      <c r="K6" s="19" t="n">
        <f aca="false">IF(F6=0,"",G6/F6)</f>
        <v>0.951388888888889</v>
      </c>
      <c r="L6" s="5"/>
    </row>
    <row r="7" customFormat="false" ht="15" hidden="false" customHeight="false" outlineLevel="0" collapsed="false">
      <c r="A7" s="6" t="s">
        <v>86</v>
      </c>
      <c r="B7" s="5" t="s">
        <v>90</v>
      </c>
      <c r="C7" s="5" t="s">
        <v>91</v>
      </c>
      <c r="D7" s="5" t="n">
        <v>20</v>
      </c>
      <c r="E7" s="5" t="n">
        <v>20</v>
      </c>
      <c r="F7" s="17" t="n">
        <v>400</v>
      </c>
      <c r="G7" s="17" t="n">
        <v>340</v>
      </c>
      <c r="H7" s="5" t="n">
        <v>4</v>
      </c>
      <c r="I7" s="18" t="n">
        <v>4</v>
      </c>
      <c r="J7" s="19" t="n">
        <f aca="false">IF(D7=0,"",E7/D7)</f>
        <v>1</v>
      </c>
      <c r="K7" s="19" t="n">
        <f aca="false">IF(F7=0,"",G7/F7)</f>
        <v>0.85</v>
      </c>
      <c r="L7" s="5"/>
    </row>
    <row r="8" customFormat="false" ht="15" hidden="false" customHeight="false" outlineLevel="0" collapsed="false">
      <c r="A8" s="6" t="s">
        <v>86</v>
      </c>
      <c r="B8" s="5" t="s">
        <v>90</v>
      </c>
      <c r="C8" s="5" t="s">
        <v>92</v>
      </c>
      <c r="D8" s="5" t="n">
        <v>4</v>
      </c>
      <c r="E8" s="5" t="n">
        <v>4</v>
      </c>
      <c r="F8" s="17" t="n">
        <v>240</v>
      </c>
      <c r="G8" s="17" t="n">
        <v>194</v>
      </c>
      <c r="H8" s="5" t="n">
        <v>2</v>
      </c>
      <c r="I8" s="18" t="n">
        <v>4.6</v>
      </c>
      <c r="J8" s="19" t="n">
        <f aca="false">IF(D8=0,"",E8/D8)</f>
        <v>1</v>
      </c>
      <c r="K8" s="19" t="n">
        <f aca="false">IF(F8=0,"",G8/F8)</f>
        <v>0.808333333333333</v>
      </c>
      <c r="L8" s="5"/>
    </row>
    <row r="9" customFormat="false" ht="15" hidden="false" customHeight="false" outlineLevel="0" collapsed="false">
      <c r="A9" s="6" t="s">
        <v>86</v>
      </c>
      <c r="B9" s="5" t="s">
        <v>93</v>
      </c>
      <c r="C9" s="5" t="s">
        <v>94</v>
      </c>
      <c r="D9" s="5" t="n">
        <v>16</v>
      </c>
      <c r="E9" s="5" t="n">
        <v>16</v>
      </c>
      <c r="F9" s="17" t="n">
        <v>352</v>
      </c>
      <c r="G9" s="17" t="n">
        <v>346</v>
      </c>
      <c r="H9" s="5" t="n">
        <v>1</v>
      </c>
      <c r="I9" s="18" t="n">
        <v>4.3</v>
      </c>
      <c r="J9" s="19" t="n">
        <f aca="false">IF(D9=0,"",E9/D9)</f>
        <v>1</v>
      </c>
      <c r="K9" s="19" t="n">
        <f aca="false">IF(F9=0,"",G9/F9)</f>
        <v>0.982954545454545</v>
      </c>
      <c r="L9" s="5"/>
    </row>
    <row r="10" customFormat="false" ht="15" hidden="false" customHeight="false" outlineLevel="0" collapsed="false">
      <c r="A10" s="6" t="s">
        <v>86</v>
      </c>
      <c r="B10" s="5" t="s">
        <v>93</v>
      </c>
      <c r="C10" s="5" t="s">
        <v>95</v>
      </c>
      <c r="D10" s="5" t="n">
        <v>2</v>
      </c>
      <c r="E10" s="5" t="n">
        <v>2</v>
      </c>
      <c r="F10" s="17" t="n">
        <v>50</v>
      </c>
      <c r="G10" s="17" t="n">
        <v>53</v>
      </c>
      <c r="H10" s="5" t="n">
        <v>2</v>
      </c>
      <c r="I10" s="18" t="n">
        <v>4.6</v>
      </c>
      <c r="J10" s="19" t="n">
        <f aca="false">IF(D10=0,"",E10/D10)</f>
        <v>1</v>
      </c>
      <c r="K10" s="19" t="n">
        <f aca="false">IF(F10=0,"",G10/F10)</f>
        <v>1.06</v>
      </c>
      <c r="L10" s="5"/>
    </row>
    <row r="11" customFormat="false" ht="15" hidden="false" customHeight="false" outlineLevel="0" collapsed="false">
      <c r="A11" s="6" t="s">
        <v>96</v>
      </c>
      <c r="B11" s="5" t="s">
        <v>87</v>
      </c>
      <c r="C11" s="5" t="s">
        <v>88</v>
      </c>
      <c r="D11" s="5" t="n">
        <v>4</v>
      </c>
      <c r="E11" s="5" t="n">
        <v>4</v>
      </c>
      <c r="F11" s="17" t="n">
        <v>60</v>
      </c>
      <c r="G11" s="17" t="n">
        <v>57</v>
      </c>
      <c r="H11" s="5" t="n">
        <v>0</v>
      </c>
      <c r="I11" s="18" t="n">
        <v>4.6</v>
      </c>
      <c r="J11" s="19" t="n">
        <f aca="false">IF(D11=0,"",E11/D11)</f>
        <v>1</v>
      </c>
      <c r="K11" s="19" t="n">
        <f aca="false">IF(F11=0,"",G11/F11)</f>
        <v>0.95</v>
      </c>
      <c r="L11" s="5"/>
    </row>
    <row r="12" customFormat="false" ht="15" hidden="false" customHeight="false" outlineLevel="0" collapsed="false">
      <c r="A12" s="6" t="s">
        <v>96</v>
      </c>
      <c r="B12" s="5" t="s">
        <v>87</v>
      </c>
      <c r="C12" s="5" t="s">
        <v>89</v>
      </c>
      <c r="D12" s="5" t="n">
        <v>8</v>
      </c>
      <c r="E12" s="5" t="n">
        <v>6</v>
      </c>
      <c r="F12" s="17" t="n">
        <v>144</v>
      </c>
      <c r="G12" s="17" t="n">
        <v>95</v>
      </c>
      <c r="H12" s="5" t="n">
        <v>1</v>
      </c>
      <c r="I12" s="18" t="n">
        <v>4.7</v>
      </c>
      <c r="J12" s="19" t="n">
        <f aca="false">IF(D12=0,"",E12/D12)</f>
        <v>0.75</v>
      </c>
      <c r="K12" s="19" t="n">
        <f aca="false">IF(F12=0,"",G12/F12)</f>
        <v>0.659722222222222</v>
      </c>
      <c r="L12" s="5" t="s">
        <v>97</v>
      </c>
    </row>
    <row r="13" customFormat="false" ht="15" hidden="false" customHeight="false" outlineLevel="0" collapsed="false">
      <c r="A13" s="6" t="s">
        <v>96</v>
      </c>
      <c r="B13" s="5" t="s">
        <v>90</v>
      </c>
      <c r="C13" s="5" t="s">
        <v>91</v>
      </c>
      <c r="D13" s="5" t="n">
        <v>20</v>
      </c>
      <c r="E13" s="5" t="n">
        <v>20</v>
      </c>
      <c r="F13" s="17" t="n">
        <v>400</v>
      </c>
      <c r="G13" s="17" t="n">
        <v>388</v>
      </c>
      <c r="H13" s="5" t="n">
        <v>0</v>
      </c>
      <c r="I13" s="18" t="n">
        <v>4.7</v>
      </c>
      <c r="J13" s="19" t="n">
        <f aca="false">IF(D13=0,"",E13/D13)</f>
        <v>1</v>
      </c>
      <c r="K13" s="19" t="n">
        <f aca="false">IF(F13=0,"",G13/F13)</f>
        <v>0.97</v>
      </c>
      <c r="L13" s="5"/>
    </row>
    <row r="14" customFormat="false" ht="15" hidden="false" customHeight="false" outlineLevel="0" collapsed="false">
      <c r="A14" s="6" t="s">
        <v>96</v>
      </c>
      <c r="B14" s="5" t="s">
        <v>90</v>
      </c>
      <c r="C14" s="5" t="s">
        <v>92</v>
      </c>
      <c r="D14" s="5" t="n">
        <v>4</v>
      </c>
      <c r="E14" s="5" t="n">
        <v>4</v>
      </c>
      <c r="F14" s="17" t="n">
        <v>240</v>
      </c>
      <c r="G14" s="17" t="n">
        <v>224</v>
      </c>
      <c r="H14" s="5" t="n">
        <v>2</v>
      </c>
      <c r="I14" s="18" t="n">
        <v>4.3</v>
      </c>
      <c r="J14" s="19" t="n">
        <f aca="false">IF(D14=0,"",E14/D14)</f>
        <v>1</v>
      </c>
      <c r="K14" s="19" t="n">
        <f aca="false">IF(F14=0,"",G14/F14)</f>
        <v>0.933333333333333</v>
      </c>
      <c r="L14" s="5"/>
    </row>
    <row r="15" customFormat="false" ht="15" hidden="false" customHeight="false" outlineLevel="0" collapsed="false">
      <c r="A15" s="6" t="s">
        <v>96</v>
      </c>
      <c r="B15" s="5" t="s">
        <v>93</v>
      </c>
      <c r="C15" s="5" t="s">
        <v>94</v>
      </c>
      <c r="D15" s="5" t="n">
        <v>16</v>
      </c>
      <c r="E15" s="5" t="n">
        <v>16</v>
      </c>
      <c r="F15" s="17" t="n">
        <v>352</v>
      </c>
      <c r="G15" s="17" t="n">
        <v>333</v>
      </c>
      <c r="H15" s="5" t="n">
        <v>0</v>
      </c>
      <c r="I15" s="18" t="n">
        <v>4.3</v>
      </c>
      <c r="J15" s="19" t="n">
        <f aca="false">IF(D15=0,"",E15/D15)</f>
        <v>1</v>
      </c>
      <c r="K15" s="19" t="n">
        <f aca="false">IF(F15=0,"",G15/F15)</f>
        <v>0.946022727272727</v>
      </c>
      <c r="L15" s="5"/>
    </row>
    <row r="16" customFormat="false" ht="15" hidden="false" customHeight="false" outlineLevel="0" collapsed="false">
      <c r="A16" s="6" t="s">
        <v>96</v>
      </c>
      <c r="B16" s="5" t="s">
        <v>93</v>
      </c>
      <c r="C16" s="5" t="s">
        <v>95</v>
      </c>
      <c r="D16" s="5" t="n">
        <v>2</v>
      </c>
      <c r="E16" s="5" t="n">
        <v>2</v>
      </c>
      <c r="F16" s="17" t="n">
        <v>50</v>
      </c>
      <c r="G16" s="17" t="n">
        <v>53</v>
      </c>
      <c r="H16" s="5" t="n">
        <v>3</v>
      </c>
      <c r="I16" s="18" t="n">
        <v>4.3</v>
      </c>
      <c r="J16" s="19" t="n">
        <f aca="false">IF(D16=0,"",E16/D16)</f>
        <v>1</v>
      </c>
      <c r="K16" s="19" t="n">
        <f aca="false">IF(F16=0,"",G16/F16)</f>
        <v>1.06</v>
      </c>
      <c r="L16" s="5"/>
    </row>
    <row r="17" customFormat="false" ht="15" hidden="false" customHeight="false" outlineLevel="0" collapsed="false">
      <c r="A17" s="6" t="s">
        <v>98</v>
      </c>
      <c r="B17" s="5" t="s">
        <v>87</v>
      </c>
      <c r="C17" s="5" t="s">
        <v>88</v>
      </c>
      <c r="D17" s="5" t="n">
        <v>4</v>
      </c>
      <c r="E17" s="5" t="n">
        <v>4</v>
      </c>
      <c r="F17" s="17" t="n">
        <v>60</v>
      </c>
      <c r="G17" s="17" t="n">
        <v>64</v>
      </c>
      <c r="H17" s="5" t="n">
        <v>4</v>
      </c>
      <c r="I17" s="18" t="n">
        <v>4.7</v>
      </c>
      <c r="J17" s="19" t="n">
        <f aca="false">IF(D17=0,"",E17/D17)</f>
        <v>1</v>
      </c>
      <c r="K17" s="19" t="n">
        <f aca="false">IF(F17=0,"",G17/F17)</f>
        <v>1.06666666666667</v>
      </c>
      <c r="L17" s="5"/>
    </row>
    <row r="18" customFormat="false" ht="15" hidden="false" customHeight="false" outlineLevel="0" collapsed="false">
      <c r="A18" s="6" t="s">
        <v>98</v>
      </c>
      <c r="B18" s="5" t="s">
        <v>87</v>
      </c>
      <c r="C18" s="5" t="s">
        <v>89</v>
      </c>
      <c r="D18" s="5" t="n">
        <v>8</v>
      </c>
      <c r="E18" s="5" t="n">
        <v>8</v>
      </c>
      <c r="F18" s="17" t="n">
        <v>144</v>
      </c>
      <c r="G18" s="17" t="n">
        <v>140</v>
      </c>
      <c r="H18" s="5" t="n">
        <v>0</v>
      </c>
      <c r="I18" s="18" t="n">
        <v>4.4</v>
      </c>
      <c r="J18" s="19" t="n">
        <f aca="false">IF(D18=0,"",E18/D18)</f>
        <v>1</v>
      </c>
      <c r="K18" s="19" t="n">
        <f aca="false">IF(F18=0,"",G18/F18)</f>
        <v>0.972222222222222</v>
      </c>
      <c r="L18" s="5"/>
    </row>
    <row r="19" customFormat="false" ht="15" hidden="false" customHeight="false" outlineLevel="0" collapsed="false">
      <c r="A19" s="6" t="s">
        <v>98</v>
      </c>
      <c r="B19" s="5" t="s">
        <v>90</v>
      </c>
      <c r="C19" s="5" t="s">
        <v>91</v>
      </c>
      <c r="D19" s="5" t="n">
        <v>20</v>
      </c>
      <c r="E19" s="5" t="n">
        <v>20</v>
      </c>
      <c r="F19" s="17" t="n">
        <v>400</v>
      </c>
      <c r="G19" s="17" t="n">
        <v>426</v>
      </c>
      <c r="H19" s="5" t="n">
        <v>4</v>
      </c>
      <c r="I19" s="18" t="n">
        <v>4.7</v>
      </c>
      <c r="J19" s="19" t="n">
        <f aca="false">IF(D19=0,"",E19/D19)</f>
        <v>1</v>
      </c>
      <c r="K19" s="19" t="n">
        <f aca="false">IF(F19=0,"",G19/F19)</f>
        <v>1.065</v>
      </c>
      <c r="L19" s="5"/>
    </row>
    <row r="20" customFormat="false" ht="15" hidden="false" customHeight="false" outlineLevel="0" collapsed="false">
      <c r="A20" s="6" t="s">
        <v>98</v>
      </c>
      <c r="B20" s="5" t="s">
        <v>90</v>
      </c>
      <c r="C20" s="5" t="s">
        <v>92</v>
      </c>
      <c r="D20" s="5" t="n">
        <v>4</v>
      </c>
      <c r="E20" s="5" t="n">
        <v>2</v>
      </c>
      <c r="F20" s="17" t="n">
        <v>240</v>
      </c>
      <c r="G20" s="17" t="n">
        <v>114</v>
      </c>
      <c r="H20" s="5" t="n">
        <v>5</v>
      </c>
      <c r="I20" s="18" t="n">
        <v>4.7</v>
      </c>
      <c r="J20" s="19" t="n">
        <f aca="false">IF(D20=0,"",E20/D20)</f>
        <v>0.5</v>
      </c>
      <c r="K20" s="19" t="n">
        <f aca="false">IF(F20=0,"",G20/F20)</f>
        <v>0.475</v>
      </c>
      <c r="L20" s="5"/>
    </row>
    <row r="21" customFormat="false" ht="15" hidden="false" customHeight="false" outlineLevel="0" collapsed="false">
      <c r="A21" s="6" t="s">
        <v>98</v>
      </c>
      <c r="B21" s="5" t="s">
        <v>93</v>
      </c>
      <c r="C21" s="5" t="s">
        <v>94</v>
      </c>
      <c r="D21" s="5" t="n">
        <v>16</v>
      </c>
      <c r="E21" s="5" t="n">
        <v>16</v>
      </c>
      <c r="F21" s="17" t="n">
        <v>352</v>
      </c>
      <c r="G21" s="17" t="n">
        <v>298</v>
      </c>
      <c r="H21" s="5" t="n">
        <v>3</v>
      </c>
      <c r="I21" s="18" t="n">
        <v>4.5</v>
      </c>
      <c r="J21" s="19" t="n">
        <f aca="false">IF(D21=0,"",E21/D21)</f>
        <v>1</v>
      </c>
      <c r="K21" s="19" t="n">
        <f aca="false">IF(F21=0,"",G21/F21)</f>
        <v>0.846590909090909</v>
      </c>
      <c r="L21" s="5"/>
    </row>
    <row r="22" customFormat="false" ht="15" hidden="false" customHeight="false" outlineLevel="0" collapsed="false">
      <c r="A22" s="6" t="s">
        <v>98</v>
      </c>
      <c r="B22" s="5" t="s">
        <v>93</v>
      </c>
      <c r="C22" s="5" t="s">
        <v>95</v>
      </c>
      <c r="D22" s="5" t="n">
        <v>2</v>
      </c>
      <c r="E22" s="5" t="n">
        <v>2</v>
      </c>
      <c r="F22" s="17" t="n">
        <v>50</v>
      </c>
      <c r="G22" s="17" t="n">
        <v>55</v>
      </c>
      <c r="H22" s="5" t="n">
        <v>4</v>
      </c>
      <c r="I22" s="18" t="n">
        <v>4.1</v>
      </c>
      <c r="J22" s="19" t="n">
        <f aca="false">IF(D22=0,"",E22/D22)</f>
        <v>1</v>
      </c>
      <c r="K22" s="19" t="n">
        <f aca="false">IF(F22=0,"",G22/F22)</f>
        <v>1.1</v>
      </c>
      <c r="L22" s="5"/>
    </row>
    <row r="23" customFormat="false" ht="15" hidden="false" customHeight="false" outlineLevel="0" collapsed="false">
      <c r="A23" s="6" t="s">
        <v>99</v>
      </c>
      <c r="B23" s="5" t="s">
        <v>87</v>
      </c>
      <c r="C23" s="5" t="s">
        <v>88</v>
      </c>
      <c r="D23" s="5" t="n">
        <v>4</v>
      </c>
      <c r="E23" s="5" t="n">
        <v>4</v>
      </c>
      <c r="F23" s="17" t="n">
        <v>60</v>
      </c>
      <c r="G23" s="17" t="n">
        <v>68</v>
      </c>
      <c r="H23" s="5" t="n">
        <v>4</v>
      </c>
      <c r="I23" s="18" t="n">
        <v>4.6</v>
      </c>
      <c r="J23" s="19" t="n">
        <f aca="false">IF(D23=0,"",E23/D23)</f>
        <v>1</v>
      </c>
      <c r="K23" s="19" t="n">
        <f aca="false">IF(F23=0,"",G23/F23)</f>
        <v>1.13333333333333</v>
      </c>
      <c r="L23" s="5"/>
    </row>
    <row r="24" customFormat="false" ht="15" hidden="false" customHeight="false" outlineLevel="0" collapsed="false">
      <c r="A24" s="6" t="s">
        <v>99</v>
      </c>
      <c r="B24" s="5" t="s">
        <v>87</v>
      </c>
      <c r="C24" s="5" t="s">
        <v>89</v>
      </c>
      <c r="D24" s="5" t="n">
        <v>8</v>
      </c>
      <c r="E24" s="5" t="n">
        <v>8</v>
      </c>
      <c r="F24" s="17" t="n">
        <v>144</v>
      </c>
      <c r="G24" s="17" t="n">
        <v>140</v>
      </c>
      <c r="H24" s="5" t="n">
        <v>3</v>
      </c>
      <c r="I24" s="18" t="n">
        <v>4.3</v>
      </c>
      <c r="J24" s="19" t="n">
        <f aca="false">IF(D24=0,"",E24/D24)</f>
        <v>1</v>
      </c>
      <c r="K24" s="19" t="n">
        <f aca="false">IF(F24=0,"",G24/F24)</f>
        <v>0.972222222222222</v>
      </c>
      <c r="L24" s="5"/>
    </row>
    <row r="25" customFormat="false" ht="15" hidden="false" customHeight="false" outlineLevel="0" collapsed="false">
      <c r="A25" s="6" t="s">
        <v>99</v>
      </c>
      <c r="B25" s="5" t="s">
        <v>90</v>
      </c>
      <c r="C25" s="5" t="s">
        <v>91</v>
      </c>
      <c r="D25" s="5" t="n">
        <v>20</v>
      </c>
      <c r="E25" s="5" t="n">
        <v>20</v>
      </c>
      <c r="F25" s="17" t="n">
        <v>400</v>
      </c>
      <c r="G25" s="17" t="n">
        <v>364</v>
      </c>
      <c r="H25" s="5" t="n">
        <v>0</v>
      </c>
      <c r="I25" s="18" t="n">
        <v>4</v>
      </c>
      <c r="J25" s="19" t="n">
        <f aca="false">IF(D25=0,"",E25/D25)</f>
        <v>1</v>
      </c>
      <c r="K25" s="19" t="n">
        <f aca="false">IF(F25=0,"",G25/F25)</f>
        <v>0.91</v>
      </c>
      <c r="L25" s="5"/>
    </row>
    <row r="26" customFormat="false" ht="15" hidden="false" customHeight="false" outlineLevel="0" collapsed="false">
      <c r="A26" s="6" t="s">
        <v>99</v>
      </c>
      <c r="B26" s="5" t="s">
        <v>90</v>
      </c>
      <c r="C26" s="5" t="s">
        <v>92</v>
      </c>
      <c r="D26" s="5" t="n">
        <v>4</v>
      </c>
      <c r="E26" s="5" t="n">
        <v>4</v>
      </c>
      <c r="F26" s="17" t="n">
        <v>240</v>
      </c>
      <c r="G26" s="17" t="n">
        <v>271</v>
      </c>
      <c r="H26" s="5" t="n">
        <v>8</v>
      </c>
      <c r="I26" s="18" t="n">
        <v>4.4</v>
      </c>
      <c r="J26" s="19" t="n">
        <f aca="false">IF(D26=0,"",E26/D26)</f>
        <v>1</v>
      </c>
      <c r="K26" s="19" t="n">
        <f aca="false">IF(F26=0,"",G26/F26)</f>
        <v>1.12916666666667</v>
      </c>
      <c r="L26" s="5"/>
    </row>
    <row r="27" customFormat="false" ht="15" hidden="false" customHeight="false" outlineLevel="0" collapsed="false">
      <c r="A27" s="6" t="s">
        <v>99</v>
      </c>
      <c r="B27" s="5" t="s">
        <v>93</v>
      </c>
      <c r="C27" s="5" t="s">
        <v>94</v>
      </c>
      <c r="D27" s="5" t="n">
        <v>16</v>
      </c>
      <c r="E27" s="5" t="n">
        <v>16</v>
      </c>
      <c r="F27" s="17" t="n">
        <v>352</v>
      </c>
      <c r="G27" s="17" t="n">
        <v>394</v>
      </c>
      <c r="H27" s="5" t="n">
        <v>2</v>
      </c>
      <c r="I27" s="18" t="n">
        <v>4.5</v>
      </c>
      <c r="J27" s="19" t="n">
        <f aca="false">IF(D27=0,"",E27/D27)</f>
        <v>1</v>
      </c>
      <c r="K27" s="19" t="n">
        <f aca="false">IF(F27=0,"",G27/F27)</f>
        <v>1.11931818181818</v>
      </c>
      <c r="L27" s="5"/>
    </row>
    <row r="28" customFormat="false" ht="15" hidden="false" customHeight="false" outlineLevel="0" collapsed="false">
      <c r="A28" s="6" t="s">
        <v>99</v>
      </c>
      <c r="B28" s="5" t="s">
        <v>93</v>
      </c>
      <c r="C28" s="5" t="s">
        <v>95</v>
      </c>
      <c r="D28" s="5" t="n">
        <v>2</v>
      </c>
      <c r="E28" s="5" t="n">
        <v>2</v>
      </c>
      <c r="F28" s="17" t="n">
        <v>50</v>
      </c>
      <c r="G28" s="17" t="n">
        <v>53</v>
      </c>
      <c r="H28" s="5" t="n">
        <v>3</v>
      </c>
      <c r="I28" s="18" t="n">
        <v>4.6</v>
      </c>
      <c r="J28" s="19" t="n">
        <f aca="false">IF(D28=0,"",E28/D28)</f>
        <v>1</v>
      </c>
      <c r="K28" s="19" t="n">
        <f aca="false">IF(F28=0,"",G28/F28)</f>
        <v>1.06</v>
      </c>
      <c r="L28" s="5"/>
    </row>
    <row r="29" customFormat="false" ht="15" hidden="false" customHeight="false" outlineLevel="0" collapsed="false">
      <c r="A29" s="6" t="s">
        <v>100</v>
      </c>
      <c r="B29" s="5" t="s">
        <v>87</v>
      </c>
      <c r="C29" s="5" t="s">
        <v>88</v>
      </c>
      <c r="D29" s="5" t="n">
        <v>4</v>
      </c>
      <c r="E29" s="5" t="n">
        <v>4</v>
      </c>
      <c r="F29" s="17" t="n">
        <v>60</v>
      </c>
      <c r="G29" s="17" t="n">
        <v>68</v>
      </c>
      <c r="H29" s="5" t="n">
        <v>2</v>
      </c>
      <c r="I29" s="18" t="n">
        <v>4.2</v>
      </c>
      <c r="J29" s="19" t="n">
        <f aca="false">IF(D29=0,"",E29/D29)</f>
        <v>1</v>
      </c>
      <c r="K29" s="19" t="n">
        <f aca="false">IF(F29=0,"",G29/F29)</f>
        <v>1.13333333333333</v>
      </c>
      <c r="L29" s="5"/>
    </row>
    <row r="30" customFormat="false" ht="15" hidden="false" customHeight="false" outlineLevel="0" collapsed="false">
      <c r="A30" s="6" t="s">
        <v>100</v>
      </c>
      <c r="B30" s="5" t="s">
        <v>87</v>
      </c>
      <c r="C30" s="5" t="s">
        <v>89</v>
      </c>
      <c r="D30" s="5" t="n">
        <v>8</v>
      </c>
      <c r="E30" s="5" t="n">
        <v>8</v>
      </c>
      <c r="F30" s="17" t="n">
        <v>144</v>
      </c>
      <c r="G30" s="17" t="n">
        <v>125</v>
      </c>
      <c r="H30" s="5" t="n">
        <v>4</v>
      </c>
      <c r="I30" s="18" t="n">
        <v>4.1</v>
      </c>
      <c r="J30" s="19" t="n">
        <f aca="false">IF(D30=0,"",E30/D30)</f>
        <v>1</v>
      </c>
      <c r="K30" s="19" t="n">
        <f aca="false">IF(F30=0,"",G30/F30)</f>
        <v>0.868055555555556</v>
      </c>
      <c r="L30" s="5"/>
    </row>
    <row r="31" customFormat="false" ht="15" hidden="false" customHeight="false" outlineLevel="0" collapsed="false">
      <c r="A31" s="6" t="s">
        <v>100</v>
      </c>
      <c r="B31" s="5" t="s">
        <v>90</v>
      </c>
      <c r="C31" s="5" t="s">
        <v>91</v>
      </c>
      <c r="D31" s="5" t="n">
        <v>20</v>
      </c>
      <c r="E31" s="5" t="n">
        <v>20</v>
      </c>
      <c r="F31" s="17" t="n">
        <v>400</v>
      </c>
      <c r="G31" s="17" t="n">
        <v>360</v>
      </c>
      <c r="H31" s="5" t="n">
        <v>3</v>
      </c>
      <c r="I31" s="18" t="n">
        <v>4.7</v>
      </c>
      <c r="J31" s="19" t="n">
        <f aca="false">IF(D31=0,"",E31/D31)</f>
        <v>1</v>
      </c>
      <c r="K31" s="19" t="n">
        <f aca="false">IF(F31=0,"",G31/F31)</f>
        <v>0.9</v>
      </c>
      <c r="L31" s="5"/>
    </row>
    <row r="32" customFormat="false" ht="15" hidden="false" customHeight="false" outlineLevel="0" collapsed="false">
      <c r="A32" s="6" t="s">
        <v>100</v>
      </c>
      <c r="B32" s="5" t="s">
        <v>90</v>
      </c>
      <c r="C32" s="5" t="s">
        <v>92</v>
      </c>
      <c r="D32" s="5" t="n">
        <v>4</v>
      </c>
      <c r="E32" s="5" t="n">
        <v>4</v>
      </c>
      <c r="F32" s="17" t="n">
        <v>240</v>
      </c>
      <c r="G32" s="17" t="n">
        <v>258</v>
      </c>
      <c r="H32" s="5" t="n">
        <v>4</v>
      </c>
      <c r="I32" s="18" t="n">
        <v>4.7</v>
      </c>
      <c r="J32" s="19" t="n">
        <f aca="false">IF(D32=0,"",E32/D32)</f>
        <v>1</v>
      </c>
      <c r="K32" s="19" t="n">
        <f aca="false">IF(F32=0,"",G32/F32)</f>
        <v>1.075</v>
      </c>
      <c r="L32" s="5" t="s">
        <v>101</v>
      </c>
    </row>
    <row r="33" customFormat="false" ht="15" hidden="false" customHeight="false" outlineLevel="0" collapsed="false">
      <c r="A33" s="6" t="s">
        <v>100</v>
      </c>
      <c r="B33" s="5" t="s">
        <v>93</v>
      </c>
      <c r="C33" s="5" t="s">
        <v>94</v>
      </c>
      <c r="D33" s="5" t="n">
        <v>16</v>
      </c>
      <c r="E33" s="5" t="n">
        <v>16</v>
      </c>
      <c r="F33" s="17" t="n">
        <v>352</v>
      </c>
      <c r="G33" s="17" t="n">
        <v>318</v>
      </c>
      <c r="H33" s="5" t="n">
        <v>3</v>
      </c>
      <c r="I33" s="18" t="n">
        <v>4</v>
      </c>
      <c r="J33" s="19" t="n">
        <f aca="false">IF(D33=0,"",E33/D33)</f>
        <v>1</v>
      </c>
      <c r="K33" s="19" t="n">
        <f aca="false">IF(F33=0,"",G33/F33)</f>
        <v>0.903409090909091</v>
      </c>
      <c r="L33" s="5"/>
    </row>
    <row r="34" customFormat="false" ht="15" hidden="false" customHeight="false" outlineLevel="0" collapsed="false">
      <c r="A34" s="6" t="s">
        <v>100</v>
      </c>
      <c r="B34" s="5" t="s">
        <v>93</v>
      </c>
      <c r="C34" s="5" t="s">
        <v>95</v>
      </c>
      <c r="D34" s="5" t="n">
        <v>2</v>
      </c>
      <c r="E34" s="5" t="n">
        <v>2</v>
      </c>
      <c r="F34" s="17" t="n">
        <v>50</v>
      </c>
      <c r="G34" s="17" t="n">
        <v>43</v>
      </c>
      <c r="H34" s="5" t="n">
        <v>3</v>
      </c>
      <c r="I34" s="18" t="n">
        <v>4.4</v>
      </c>
      <c r="J34" s="19" t="n">
        <f aca="false">IF(D34=0,"",E34/D34)</f>
        <v>1</v>
      </c>
      <c r="K34" s="19" t="n">
        <f aca="false">IF(F34=0,"",G34/F34)</f>
        <v>0.86</v>
      </c>
      <c r="L34" s="5"/>
    </row>
    <row r="35" customFormat="false" ht="15" hidden="false" customHeight="false" outlineLevel="0" collapsed="false">
      <c r="A35" s="6" t="s">
        <v>102</v>
      </c>
      <c r="B35" s="5" t="s">
        <v>87</v>
      </c>
      <c r="C35" s="5" t="s">
        <v>88</v>
      </c>
      <c r="D35" s="5" t="n">
        <v>4</v>
      </c>
      <c r="E35" s="5" t="n">
        <v>4</v>
      </c>
      <c r="F35" s="17" t="n">
        <v>60</v>
      </c>
      <c r="G35" s="17" t="n">
        <v>53</v>
      </c>
      <c r="H35" s="5" t="n">
        <v>1</v>
      </c>
      <c r="I35" s="18" t="n">
        <v>4.1</v>
      </c>
      <c r="J35" s="19" t="n">
        <f aca="false">IF(D35=0,"",E35/D35)</f>
        <v>1</v>
      </c>
      <c r="K35" s="19" t="n">
        <f aca="false">IF(F35=0,"",G35/F35)</f>
        <v>0.883333333333333</v>
      </c>
      <c r="L35" s="5"/>
    </row>
    <row r="36" customFormat="false" ht="15" hidden="false" customHeight="false" outlineLevel="0" collapsed="false">
      <c r="A36" s="6" t="s">
        <v>102</v>
      </c>
      <c r="B36" s="5" t="s">
        <v>87</v>
      </c>
      <c r="C36" s="5" t="s">
        <v>89</v>
      </c>
      <c r="D36" s="5" t="n">
        <v>8</v>
      </c>
      <c r="E36" s="5" t="n">
        <v>8</v>
      </c>
      <c r="F36" s="17" t="n">
        <v>144</v>
      </c>
      <c r="G36" s="17" t="n">
        <v>159</v>
      </c>
      <c r="H36" s="5" t="n">
        <v>2</v>
      </c>
      <c r="I36" s="18" t="n">
        <v>4.5</v>
      </c>
      <c r="J36" s="19" t="n">
        <f aca="false">IF(D36=0,"",E36/D36)</f>
        <v>1</v>
      </c>
      <c r="K36" s="19" t="n">
        <f aca="false">IF(F36=0,"",G36/F36)</f>
        <v>1.10416666666667</v>
      </c>
      <c r="L36" s="5"/>
    </row>
    <row r="37" customFormat="false" ht="15" hidden="false" customHeight="false" outlineLevel="0" collapsed="false">
      <c r="A37" s="6" t="s">
        <v>102</v>
      </c>
      <c r="B37" s="5" t="s">
        <v>90</v>
      </c>
      <c r="C37" s="5" t="s">
        <v>91</v>
      </c>
      <c r="D37" s="5" t="n">
        <v>20</v>
      </c>
      <c r="E37" s="5" t="n">
        <v>20</v>
      </c>
      <c r="F37" s="17" t="n">
        <v>400</v>
      </c>
      <c r="G37" s="17" t="n">
        <v>363</v>
      </c>
      <c r="H37" s="5" t="n">
        <v>2</v>
      </c>
      <c r="I37" s="18" t="n">
        <v>4.5</v>
      </c>
      <c r="J37" s="19" t="n">
        <f aca="false">IF(D37=0,"",E37/D37)</f>
        <v>1</v>
      </c>
      <c r="K37" s="19" t="n">
        <f aca="false">IF(F37=0,"",G37/F37)</f>
        <v>0.9075</v>
      </c>
      <c r="L37" s="5"/>
    </row>
    <row r="38" customFormat="false" ht="15" hidden="false" customHeight="false" outlineLevel="0" collapsed="false">
      <c r="A38" s="6" t="s">
        <v>102</v>
      </c>
      <c r="B38" s="5" t="s">
        <v>90</v>
      </c>
      <c r="C38" s="5" t="s">
        <v>92</v>
      </c>
      <c r="D38" s="5" t="n">
        <v>4</v>
      </c>
      <c r="E38" s="5" t="n">
        <v>4</v>
      </c>
      <c r="F38" s="17" t="n">
        <v>240</v>
      </c>
      <c r="G38" s="17" t="n">
        <v>279</v>
      </c>
      <c r="H38" s="5" t="n">
        <v>8</v>
      </c>
      <c r="I38" s="18" t="n">
        <v>4.3</v>
      </c>
      <c r="J38" s="19" t="n">
        <f aca="false">IF(D38=0,"",E38/D38)</f>
        <v>1</v>
      </c>
      <c r="K38" s="19" t="n">
        <f aca="false">IF(F38=0,"",G38/F38)</f>
        <v>1.1625</v>
      </c>
      <c r="L38" s="5"/>
    </row>
    <row r="39" customFormat="false" ht="15" hidden="false" customHeight="false" outlineLevel="0" collapsed="false">
      <c r="A39" s="6" t="s">
        <v>102</v>
      </c>
      <c r="B39" s="5" t="s">
        <v>93</v>
      </c>
      <c r="C39" s="5" t="s">
        <v>94</v>
      </c>
      <c r="D39" s="5" t="n">
        <v>16</v>
      </c>
      <c r="E39" s="5" t="n">
        <v>16</v>
      </c>
      <c r="F39" s="17" t="n">
        <v>352</v>
      </c>
      <c r="G39" s="17" t="n">
        <v>317</v>
      </c>
      <c r="H39" s="5" t="n">
        <v>1</v>
      </c>
      <c r="I39" s="18" t="n">
        <v>4.3</v>
      </c>
      <c r="J39" s="19" t="n">
        <f aca="false">IF(D39=0,"",E39/D39)</f>
        <v>1</v>
      </c>
      <c r="K39" s="19" t="n">
        <f aca="false">IF(F39=0,"",G39/F39)</f>
        <v>0.900568181818182</v>
      </c>
      <c r="L39" s="5"/>
    </row>
    <row r="40" customFormat="false" ht="15" hidden="false" customHeight="false" outlineLevel="0" collapsed="false">
      <c r="A40" s="6" t="s">
        <v>102</v>
      </c>
      <c r="B40" s="5" t="s">
        <v>93</v>
      </c>
      <c r="C40" s="5" t="s">
        <v>95</v>
      </c>
      <c r="D40" s="5" t="n">
        <v>2</v>
      </c>
      <c r="E40" s="5" t="n">
        <v>0</v>
      </c>
      <c r="F40" s="17" t="n">
        <v>50</v>
      </c>
      <c r="G40" s="17" t="n">
        <v>0</v>
      </c>
      <c r="H40" s="5" t="n">
        <v>1</v>
      </c>
      <c r="I40" s="18" t="n">
        <v>4.7</v>
      </c>
      <c r="J40" s="19" t="n">
        <f aca="false">IF(D40=0,"",E40/D40)</f>
        <v>0</v>
      </c>
      <c r="K40" s="19" t="n">
        <f aca="false">IF(F40=0,"",G40/F40)</f>
        <v>0</v>
      </c>
      <c r="L40" s="5"/>
    </row>
    <row r="41" customFormat="false" ht="15" hidden="false" customHeight="false" outlineLevel="0" collapsed="false">
      <c r="A41" s="6" t="s">
        <v>103</v>
      </c>
      <c r="B41" s="5" t="s">
        <v>87</v>
      </c>
      <c r="C41" s="5" t="s">
        <v>88</v>
      </c>
      <c r="D41" s="5" t="n">
        <v>4</v>
      </c>
      <c r="E41" s="5" t="n">
        <v>4</v>
      </c>
      <c r="F41" s="17" t="n">
        <v>60</v>
      </c>
      <c r="G41" s="17" t="n">
        <v>70</v>
      </c>
      <c r="H41" s="5" t="n">
        <v>2</v>
      </c>
      <c r="I41" s="18" t="n">
        <v>4.4</v>
      </c>
      <c r="J41" s="19" t="n">
        <f aca="false">IF(D41=0,"",E41/D41)</f>
        <v>1</v>
      </c>
      <c r="K41" s="19" t="n">
        <f aca="false">IF(F41=0,"",G41/F41)</f>
        <v>1.16666666666667</v>
      </c>
      <c r="L41" s="5"/>
    </row>
    <row r="42" customFormat="false" ht="15" hidden="false" customHeight="false" outlineLevel="0" collapsed="false">
      <c r="A42" s="6" t="s">
        <v>103</v>
      </c>
      <c r="B42" s="5" t="s">
        <v>87</v>
      </c>
      <c r="C42" s="5" t="s">
        <v>89</v>
      </c>
      <c r="D42" s="5" t="n">
        <v>8</v>
      </c>
      <c r="E42" s="5" t="n">
        <v>8</v>
      </c>
      <c r="F42" s="17" t="n">
        <v>144</v>
      </c>
      <c r="G42" s="17" t="n">
        <v>132</v>
      </c>
      <c r="H42" s="5" t="n">
        <v>1</v>
      </c>
      <c r="I42" s="18" t="n">
        <v>4.2</v>
      </c>
      <c r="J42" s="19" t="n">
        <f aca="false">IF(D42=0,"",E42/D42)</f>
        <v>1</v>
      </c>
      <c r="K42" s="19" t="n">
        <f aca="false">IF(F42=0,"",G42/F42)</f>
        <v>0.916666666666667</v>
      </c>
      <c r="L42" s="5"/>
    </row>
    <row r="43" customFormat="false" ht="15" hidden="false" customHeight="false" outlineLevel="0" collapsed="false">
      <c r="A43" s="6" t="s">
        <v>103</v>
      </c>
      <c r="B43" s="5" t="s">
        <v>90</v>
      </c>
      <c r="C43" s="5" t="s">
        <v>91</v>
      </c>
      <c r="D43" s="5" t="n">
        <v>20</v>
      </c>
      <c r="E43" s="5" t="n">
        <v>20</v>
      </c>
      <c r="F43" s="17" t="n">
        <v>400</v>
      </c>
      <c r="G43" s="17" t="n">
        <v>401</v>
      </c>
      <c r="H43" s="5" t="n">
        <v>0</v>
      </c>
      <c r="I43" s="18" t="n">
        <v>3.9</v>
      </c>
      <c r="J43" s="19" t="n">
        <f aca="false">IF(D43=0,"",E43/D43)</f>
        <v>1</v>
      </c>
      <c r="K43" s="19" t="n">
        <f aca="false">IF(F43=0,"",G43/F43)</f>
        <v>1.0025</v>
      </c>
      <c r="L43" s="5"/>
    </row>
    <row r="44" customFormat="false" ht="15" hidden="false" customHeight="false" outlineLevel="0" collapsed="false">
      <c r="A44" s="6" t="s">
        <v>103</v>
      </c>
      <c r="B44" s="5" t="s">
        <v>90</v>
      </c>
      <c r="C44" s="5" t="s">
        <v>92</v>
      </c>
      <c r="D44" s="5" t="n">
        <v>4</v>
      </c>
      <c r="E44" s="5" t="n">
        <v>4</v>
      </c>
      <c r="F44" s="17" t="n">
        <v>240</v>
      </c>
      <c r="G44" s="17" t="n">
        <v>238</v>
      </c>
      <c r="H44" s="5" t="n">
        <v>8</v>
      </c>
      <c r="I44" s="18" t="n">
        <v>4.8</v>
      </c>
      <c r="J44" s="19" t="n">
        <f aca="false">IF(D44=0,"",E44/D44)</f>
        <v>1</v>
      </c>
      <c r="K44" s="19" t="n">
        <f aca="false">IF(F44=0,"",G44/F44)</f>
        <v>0.991666666666667</v>
      </c>
      <c r="L44" s="5"/>
    </row>
    <row r="45" customFormat="false" ht="15" hidden="false" customHeight="false" outlineLevel="0" collapsed="false">
      <c r="A45" s="6" t="s">
        <v>103</v>
      </c>
      <c r="B45" s="5" t="s">
        <v>93</v>
      </c>
      <c r="C45" s="5" t="s">
        <v>94</v>
      </c>
      <c r="D45" s="5" t="n">
        <v>16</v>
      </c>
      <c r="E45" s="5" t="n">
        <v>14</v>
      </c>
      <c r="F45" s="17" t="n">
        <v>352</v>
      </c>
      <c r="G45" s="17" t="n">
        <v>302</v>
      </c>
      <c r="H45" s="5" t="n">
        <v>2</v>
      </c>
      <c r="I45" s="18" t="n">
        <v>4.3</v>
      </c>
      <c r="J45" s="19" t="n">
        <f aca="false">IF(D45=0,"",E45/D45)</f>
        <v>0.875</v>
      </c>
      <c r="K45" s="19" t="n">
        <f aca="false">IF(F45=0,"",G45/F45)</f>
        <v>0.857954545454545</v>
      </c>
      <c r="L45" s="5"/>
    </row>
    <row r="46" customFormat="false" ht="15" hidden="false" customHeight="false" outlineLevel="0" collapsed="false">
      <c r="A46" s="6" t="s">
        <v>103</v>
      </c>
      <c r="B46" s="5" t="s">
        <v>93</v>
      </c>
      <c r="C46" s="5" t="s">
        <v>95</v>
      </c>
      <c r="D46" s="5" t="n">
        <v>2</v>
      </c>
      <c r="E46" s="5" t="n">
        <v>1</v>
      </c>
      <c r="F46" s="17" t="n">
        <v>50</v>
      </c>
      <c r="G46" s="17" t="n">
        <v>26</v>
      </c>
      <c r="H46" s="5" t="n">
        <v>3</v>
      </c>
      <c r="I46" s="18" t="n">
        <v>4.4</v>
      </c>
      <c r="J46" s="19" t="n">
        <f aca="false">IF(D46=0,"",E46/D46)</f>
        <v>0.5</v>
      </c>
      <c r="K46" s="19" t="n">
        <f aca="false">IF(F46=0,"",G46/F46)</f>
        <v>0.52</v>
      </c>
      <c r="L46" s="5" t="s">
        <v>104</v>
      </c>
    </row>
    <row r="47" customFormat="false" ht="15" hidden="false" customHeight="false" outlineLevel="0" collapsed="false">
      <c r="A47" s="6" t="s">
        <v>105</v>
      </c>
      <c r="B47" s="5" t="s">
        <v>87</v>
      </c>
      <c r="C47" s="5" t="s">
        <v>88</v>
      </c>
      <c r="D47" s="5" t="n">
        <v>4</v>
      </c>
      <c r="E47" s="5" t="n">
        <v>4</v>
      </c>
      <c r="F47" s="17" t="n">
        <v>60</v>
      </c>
      <c r="G47" s="17" t="n">
        <v>56</v>
      </c>
      <c r="H47" s="5" t="n">
        <v>4</v>
      </c>
      <c r="I47" s="18" t="n">
        <v>3.6</v>
      </c>
      <c r="J47" s="19" t="n">
        <f aca="false">IF(D47=0,"",E47/D47)</f>
        <v>1</v>
      </c>
      <c r="K47" s="19" t="n">
        <f aca="false">IF(F47=0,"",G47/F47)</f>
        <v>0.933333333333333</v>
      </c>
      <c r="L47" s="5" t="s">
        <v>106</v>
      </c>
    </row>
    <row r="48" customFormat="false" ht="15" hidden="false" customHeight="false" outlineLevel="0" collapsed="false">
      <c r="A48" s="6" t="s">
        <v>105</v>
      </c>
      <c r="B48" s="5" t="s">
        <v>87</v>
      </c>
      <c r="C48" s="5" t="s">
        <v>89</v>
      </c>
      <c r="D48" s="5" t="n">
        <v>8</v>
      </c>
      <c r="E48" s="5" t="n">
        <v>8</v>
      </c>
      <c r="F48" s="17" t="n">
        <v>144</v>
      </c>
      <c r="G48" s="17" t="n">
        <v>150</v>
      </c>
      <c r="H48" s="5" t="n">
        <v>1</v>
      </c>
      <c r="I48" s="18" t="n">
        <v>4.5</v>
      </c>
      <c r="J48" s="19" t="n">
        <f aca="false">IF(D48=0,"",E48/D48)</f>
        <v>1</v>
      </c>
      <c r="K48" s="19" t="n">
        <f aca="false">IF(F48=0,"",G48/F48)</f>
        <v>1.04166666666667</v>
      </c>
      <c r="L48" s="5"/>
    </row>
    <row r="49" customFormat="false" ht="15" hidden="false" customHeight="false" outlineLevel="0" collapsed="false">
      <c r="A49" s="6" t="s">
        <v>105</v>
      </c>
      <c r="B49" s="5" t="s">
        <v>90</v>
      </c>
      <c r="C49" s="5" t="s">
        <v>91</v>
      </c>
      <c r="D49" s="5" t="n">
        <v>20</v>
      </c>
      <c r="E49" s="5" t="n">
        <v>18</v>
      </c>
      <c r="F49" s="17" t="n">
        <v>400</v>
      </c>
      <c r="G49" s="17" t="n">
        <v>324</v>
      </c>
      <c r="H49" s="5" t="n">
        <v>1</v>
      </c>
      <c r="I49" s="18" t="n">
        <v>3.9</v>
      </c>
      <c r="J49" s="19" t="n">
        <f aca="false">IF(D49=0,"",E49/D49)</f>
        <v>0.9</v>
      </c>
      <c r="K49" s="19" t="n">
        <f aca="false">IF(F49=0,"",G49/F49)</f>
        <v>0.81</v>
      </c>
      <c r="L49" s="5"/>
    </row>
    <row r="50" customFormat="false" ht="15" hidden="false" customHeight="false" outlineLevel="0" collapsed="false">
      <c r="A50" s="6" t="s">
        <v>105</v>
      </c>
      <c r="B50" s="5" t="s">
        <v>90</v>
      </c>
      <c r="C50" s="5" t="s">
        <v>92</v>
      </c>
      <c r="D50" s="5" t="n">
        <v>4</v>
      </c>
      <c r="E50" s="5" t="n">
        <v>4</v>
      </c>
      <c r="F50" s="17" t="n">
        <v>240</v>
      </c>
      <c r="G50" s="17" t="n">
        <v>282</v>
      </c>
      <c r="H50" s="5" t="n">
        <v>5</v>
      </c>
      <c r="I50" s="18" t="n">
        <v>4.7</v>
      </c>
      <c r="J50" s="19" t="n">
        <f aca="false">IF(D50=0,"",E50/D50)</f>
        <v>1</v>
      </c>
      <c r="K50" s="19" t="n">
        <f aca="false">IF(F50=0,"",G50/F50)</f>
        <v>1.175</v>
      </c>
      <c r="L50" s="5"/>
    </row>
    <row r="51" customFormat="false" ht="15" hidden="false" customHeight="false" outlineLevel="0" collapsed="false">
      <c r="A51" s="6" t="s">
        <v>105</v>
      </c>
      <c r="B51" s="5" t="s">
        <v>93</v>
      </c>
      <c r="C51" s="5" t="s">
        <v>94</v>
      </c>
      <c r="D51" s="5" t="n">
        <v>16</v>
      </c>
      <c r="E51" s="5" t="n">
        <v>16</v>
      </c>
      <c r="F51" s="17" t="n">
        <v>352</v>
      </c>
      <c r="G51" s="17" t="n">
        <v>371</v>
      </c>
      <c r="H51" s="5" t="n">
        <v>0</v>
      </c>
      <c r="I51" s="18" t="n">
        <v>4</v>
      </c>
      <c r="J51" s="19" t="n">
        <f aca="false">IF(D51=0,"",E51/D51)</f>
        <v>1</v>
      </c>
      <c r="K51" s="19" t="n">
        <f aca="false">IF(F51=0,"",G51/F51)</f>
        <v>1.05397727272727</v>
      </c>
      <c r="L51" s="5"/>
    </row>
    <row r="52" customFormat="false" ht="15" hidden="false" customHeight="false" outlineLevel="0" collapsed="false">
      <c r="A52" s="6" t="s">
        <v>105</v>
      </c>
      <c r="B52" s="5" t="s">
        <v>93</v>
      </c>
      <c r="C52" s="5" t="s">
        <v>95</v>
      </c>
      <c r="D52" s="5" t="n">
        <v>2</v>
      </c>
      <c r="E52" s="5" t="n">
        <v>2</v>
      </c>
      <c r="F52" s="17" t="n">
        <v>50</v>
      </c>
      <c r="G52" s="17" t="n">
        <v>57</v>
      </c>
      <c r="H52" s="5" t="n">
        <v>4</v>
      </c>
      <c r="I52" s="18" t="n">
        <v>4.7</v>
      </c>
      <c r="J52" s="19" t="n">
        <f aca="false">IF(D52=0,"",E52/D52)</f>
        <v>1</v>
      </c>
      <c r="K52" s="19" t="n">
        <f aca="false">IF(F52=0,"",G52/F52)</f>
        <v>1.14</v>
      </c>
      <c r="L52" s="5"/>
    </row>
    <row r="53" customFormat="false" ht="15" hidden="false" customHeight="false" outlineLevel="0" collapsed="false">
      <c r="A53" s="6" t="s">
        <v>107</v>
      </c>
      <c r="B53" s="5" t="s">
        <v>87</v>
      </c>
      <c r="C53" s="5" t="s">
        <v>88</v>
      </c>
      <c r="D53" s="5" t="n">
        <v>4</v>
      </c>
      <c r="E53" s="5" t="n">
        <v>3</v>
      </c>
      <c r="F53" s="17" t="n">
        <v>60</v>
      </c>
      <c r="G53" s="17" t="n">
        <v>46</v>
      </c>
      <c r="H53" s="5" t="n">
        <v>3</v>
      </c>
      <c r="I53" s="18" t="n">
        <v>4.4</v>
      </c>
      <c r="J53" s="19" t="n">
        <f aca="false">IF(D53=0,"",E53/D53)</f>
        <v>0.75</v>
      </c>
      <c r="K53" s="19" t="n">
        <f aca="false">IF(F53=0,"",G53/F53)</f>
        <v>0.766666666666667</v>
      </c>
      <c r="L53" s="5"/>
    </row>
    <row r="54" customFormat="false" ht="15" hidden="false" customHeight="false" outlineLevel="0" collapsed="false">
      <c r="A54" s="6" t="s">
        <v>107</v>
      </c>
      <c r="B54" s="5" t="s">
        <v>87</v>
      </c>
      <c r="C54" s="5" t="s">
        <v>89</v>
      </c>
      <c r="D54" s="5" t="n">
        <v>8</v>
      </c>
      <c r="E54" s="5" t="n">
        <v>8</v>
      </c>
      <c r="F54" s="17" t="n">
        <v>144</v>
      </c>
      <c r="G54" s="17" t="n">
        <v>149</v>
      </c>
      <c r="H54" s="5" t="n">
        <v>1</v>
      </c>
      <c r="I54" s="18" t="n">
        <v>4.2</v>
      </c>
      <c r="J54" s="19" t="n">
        <f aca="false">IF(D54=0,"",E54/D54)</f>
        <v>1</v>
      </c>
      <c r="K54" s="19" t="n">
        <f aca="false">IF(F54=0,"",G54/F54)</f>
        <v>1.03472222222222</v>
      </c>
      <c r="L54" s="5"/>
    </row>
    <row r="55" customFormat="false" ht="15" hidden="false" customHeight="false" outlineLevel="0" collapsed="false">
      <c r="A55" s="6" t="s">
        <v>107</v>
      </c>
      <c r="B55" s="5" t="s">
        <v>90</v>
      </c>
      <c r="C55" s="5" t="s">
        <v>91</v>
      </c>
      <c r="D55" s="5" t="n">
        <v>20</v>
      </c>
      <c r="E55" s="5" t="n">
        <v>20</v>
      </c>
      <c r="F55" s="17" t="n">
        <v>400</v>
      </c>
      <c r="G55" s="17" t="n">
        <v>431</v>
      </c>
      <c r="H55" s="5" t="n">
        <v>3</v>
      </c>
      <c r="I55" s="18" t="n">
        <v>4.2</v>
      </c>
      <c r="J55" s="19" t="n">
        <f aca="false">IF(D55=0,"",E55/D55)</f>
        <v>1</v>
      </c>
      <c r="K55" s="19" t="n">
        <f aca="false">IF(F55=0,"",G55/F55)</f>
        <v>1.0775</v>
      </c>
      <c r="L55" s="5"/>
    </row>
    <row r="56" customFormat="false" ht="15" hidden="false" customHeight="false" outlineLevel="0" collapsed="false">
      <c r="A56" s="6" t="s">
        <v>107</v>
      </c>
      <c r="B56" s="5" t="s">
        <v>90</v>
      </c>
      <c r="C56" s="5" t="s">
        <v>92</v>
      </c>
      <c r="D56" s="5" t="n">
        <v>4</v>
      </c>
      <c r="E56" s="5" t="n">
        <v>2</v>
      </c>
      <c r="F56" s="17" t="n">
        <v>240</v>
      </c>
      <c r="G56" s="17" t="n">
        <v>127</v>
      </c>
      <c r="H56" s="5" t="n">
        <v>6</v>
      </c>
      <c r="I56" s="18" t="n">
        <v>4.6</v>
      </c>
      <c r="J56" s="19" t="n">
        <f aca="false">IF(D56=0,"",E56/D56)</f>
        <v>0.5</v>
      </c>
      <c r="K56" s="19" t="n">
        <f aca="false">IF(F56=0,"",G56/F56)</f>
        <v>0.529166666666667</v>
      </c>
      <c r="L56" s="5"/>
    </row>
    <row r="57" customFormat="false" ht="15" hidden="false" customHeight="false" outlineLevel="0" collapsed="false">
      <c r="A57" s="6" t="s">
        <v>107</v>
      </c>
      <c r="B57" s="5" t="s">
        <v>93</v>
      </c>
      <c r="C57" s="5" t="s">
        <v>94</v>
      </c>
      <c r="D57" s="5" t="n">
        <v>16</v>
      </c>
      <c r="E57" s="5" t="n">
        <v>15</v>
      </c>
      <c r="F57" s="17" t="n">
        <v>352</v>
      </c>
      <c r="G57" s="17" t="n">
        <v>392</v>
      </c>
      <c r="H57" s="5" t="n">
        <v>1</v>
      </c>
      <c r="I57" s="18" t="n">
        <v>4.1</v>
      </c>
      <c r="J57" s="19" t="n">
        <f aca="false">IF(D57=0,"",E57/D57)</f>
        <v>0.9375</v>
      </c>
      <c r="K57" s="19" t="n">
        <f aca="false">IF(F57=0,"",G57/F57)</f>
        <v>1.11363636363636</v>
      </c>
      <c r="L57" s="5" t="s">
        <v>108</v>
      </c>
    </row>
    <row r="58" customFormat="false" ht="15" hidden="false" customHeight="false" outlineLevel="0" collapsed="false">
      <c r="A58" s="6" t="s">
        <v>107</v>
      </c>
      <c r="B58" s="5" t="s">
        <v>93</v>
      </c>
      <c r="C58" s="5" t="s">
        <v>95</v>
      </c>
      <c r="D58" s="5" t="n">
        <v>2</v>
      </c>
      <c r="E58" s="5" t="n">
        <v>2</v>
      </c>
      <c r="F58" s="17" t="n">
        <v>50</v>
      </c>
      <c r="G58" s="17" t="n">
        <v>60</v>
      </c>
      <c r="H58" s="5" t="n">
        <v>2</v>
      </c>
      <c r="I58" s="18" t="n">
        <v>4.3</v>
      </c>
      <c r="J58" s="19" t="n">
        <f aca="false">IF(D58=0,"",E58/D58)</f>
        <v>1</v>
      </c>
      <c r="K58" s="19" t="n">
        <f aca="false">IF(F58=0,"",G58/F58)</f>
        <v>1.2</v>
      </c>
      <c r="L58" s="5"/>
    </row>
    <row r="59" customFormat="false" ht="15" hidden="false" customHeight="false" outlineLevel="0" collapsed="false">
      <c r="A59" s="9" t="s">
        <v>109</v>
      </c>
      <c r="D59" s="20" t="n">
        <f aca="false">SUM(D5:D58)</f>
        <v>486</v>
      </c>
      <c r="E59" s="20" t="n">
        <f aca="false">SUM(E5:E58)</f>
        <v>470</v>
      </c>
      <c r="F59" s="20" t="n">
        <f aca="false">SUM(F5:F58)</f>
        <v>11214</v>
      </c>
      <c r="G59" s="20" t="n">
        <f aca="false">SUM(G5:G58)</f>
        <v>10611</v>
      </c>
      <c r="H59" s="20" t="n">
        <f aca="false">SUM(H5:H58)</f>
        <v>143</v>
      </c>
      <c r="I59" s="21" t="n">
        <f aca="false">AVERAGE(I5:I58)</f>
        <v>4.38333333333333</v>
      </c>
      <c r="J59" s="22" t="n">
        <f aca="false">E59/D59</f>
        <v>0.967078189300412</v>
      </c>
      <c r="K59" s="22" t="n">
        <f aca="false">G59/F59</f>
        <v>0.946227929373997</v>
      </c>
    </row>
  </sheetData>
  <autoFilter ref="A4:L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969"/>
    <pageSetUpPr fitToPage="false"/>
  </sheetPr>
  <dimension ref="A1:O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12" min="4" style="0" width="11"/>
    <col collapsed="false" customWidth="true" hidden="false" outlineLevel="0" max="14" min="13" style="0" width="14"/>
    <col collapsed="false" customWidth="true" hidden="false" outlineLevel="0" max="15" min="15" style="0" width="9"/>
  </cols>
  <sheetData>
    <row r="1" customFormat="false" ht="23.1" hidden="false" customHeight="false" outlineLevel="0" collapsed="false">
      <c r="A1" s="16" t="s">
        <v>110</v>
      </c>
    </row>
    <row r="2" customFormat="false" ht="15" hidden="false" customHeight="false" outlineLevel="0" collapsed="false">
      <c r="A2" s="2" t="s">
        <v>111</v>
      </c>
      <c r="E2" s="11" t="s">
        <v>73</v>
      </c>
    </row>
    <row r="4" customFormat="false" ht="30" hidden="false" customHeight="true" outlineLevel="0" collapsed="false">
      <c r="A4" s="12" t="s">
        <v>112</v>
      </c>
      <c r="B4" s="12" t="s">
        <v>113</v>
      </c>
      <c r="C4" s="12" t="s">
        <v>114</v>
      </c>
      <c r="D4" s="23" t="s">
        <v>115</v>
      </c>
      <c r="E4" s="23" t="s">
        <v>116</v>
      </c>
      <c r="F4" s="23" t="s">
        <v>117</v>
      </c>
      <c r="G4" s="23" t="s">
        <v>118</v>
      </c>
      <c r="H4" s="23" t="s">
        <v>119</v>
      </c>
      <c r="I4" s="23" t="s">
        <v>120</v>
      </c>
      <c r="J4" s="23" t="s">
        <v>121</v>
      </c>
      <c r="K4" s="23" t="s">
        <v>122</v>
      </c>
      <c r="L4" s="23" t="s">
        <v>123</v>
      </c>
      <c r="M4" s="12" t="s">
        <v>124</v>
      </c>
      <c r="N4" s="12" t="s">
        <v>125</v>
      </c>
      <c r="O4" s="12" t="s">
        <v>126</v>
      </c>
    </row>
    <row r="5" customFormat="false" ht="15" hidden="false" customHeight="false" outlineLevel="0" collapsed="false">
      <c r="A5" s="5" t="s">
        <v>127</v>
      </c>
      <c r="B5" s="5" t="s">
        <v>128</v>
      </c>
      <c r="C5" s="17" t="n">
        <v>312000000</v>
      </c>
      <c r="D5" s="17" t="n">
        <v>31892000</v>
      </c>
      <c r="E5" s="17" t="n">
        <v>33269000</v>
      </c>
      <c r="F5" s="17" t="n">
        <v>29544000</v>
      </c>
      <c r="G5" s="17" t="n">
        <v>35592000</v>
      </c>
      <c r="H5" s="17" t="n">
        <v>22920000</v>
      </c>
      <c r="I5" s="17" t="n">
        <v>18860000</v>
      </c>
      <c r="J5" s="17" t="n">
        <v>27289000</v>
      </c>
      <c r="K5" s="17" t="n">
        <v>27504000</v>
      </c>
      <c r="L5" s="17" t="n">
        <v>26798000</v>
      </c>
      <c r="M5" s="17" t="n">
        <f aca="false">SUM(D5:L5)</f>
        <v>253668000</v>
      </c>
      <c r="N5" s="24" t="n">
        <f aca="false">C5-M5</f>
        <v>58332000</v>
      </c>
      <c r="O5" s="19" t="n">
        <f aca="false">IF(C5=0,"",M5/C5)</f>
        <v>0.813038461538462</v>
      </c>
    </row>
    <row r="6" customFormat="false" ht="15" hidden="false" customHeight="false" outlineLevel="0" collapsed="false">
      <c r="A6" s="5" t="s">
        <v>127</v>
      </c>
      <c r="B6" s="6" t="s">
        <v>129</v>
      </c>
      <c r="C6" s="17" t="n">
        <v>36000000</v>
      </c>
      <c r="D6" s="17" t="n">
        <v>2063000</v>
      </c>
      <c r="E6" s="17" t="n">
        <v>3518000</v>
      </c>
      <c r="F6" s="17" t="n">
        <v>3133000</v>
      </c>
      <c r="G6" s="17" t="n">
        <v>3163000</v>
      </c>
      <c r="H6" s="17" t="n">
        <v>2314000</v>
      </c>
      <c r="I6" s="17" t="n">
        <v>2507000</v>
      </c>
      <c r="J6" s="17" t="n">
        <v>2443000</v>
      </c>
      <c r="K6" s="17" t="n">
        <v>3133000</v>
      </c>
      <c r="L6" s="17" t="n">
        <v>2043000</v>
      </c>
      <c r="M6" s="17" t="n">
        <f aca="false">SUM(D6:L6)</f>
        <v>24317000</v>
      </c>
      <c r="N6" s="24" t="n">
        <f aca="false">C6-M6</f>
        <v>11683000</v>
      </c>
      <c r="O6" s="19" t="n">
        <f aca="false">IF(C6=0,"",M6/C6)</f>
        <v>0.675472222222222</v>
      </c>
    </row>
    <row r="7" customFormat="false" ht="15" hidden="false" customHeight="false" outlineLevel="0" collapsed="false">
      <c r="A7" s="5" t="s">
        <v>130</v>
      </c>
      <c r="B7" s="5" t="s">
        <v>131</v>
      </c>
      <c r="C7" s="17" t="n">
        <v>7200000</v>
      </c>
      <c r="D7" s="17" t="n">
        <v>437000</v>
      </c>
      <c r="E7" s="17" t="n">
        <v>736000</v>
      </c>
      <c r="F7" s="17" t="n">
        <v>397000</v>
      </c>
      <c r="G7" s="17" t="n">
        <v>619000</v>
      </c>
      <c r="H7" s="17" t="n">
        <v>651000</v>
      </c>
      <c r="I7" s="17" t="n">
        <v>636000</v>
      </c>
      <c r="J7" s="17" t="n">
        <v>404000</v>
      </c>
      <c r="K7" s="17" t="n">
        <v>596000</v>
      </c>
      <c r="L7" s="17" t="n">
        <v>542000</v>
      </c>
      <c r="M7" s="17" t="n">
        <f aca="false">SUM(D7:L7)</f>
        <v>5018000</v>
      </c>
      <c r="N7" s="24" t="n">
        <f aca="false">C7-M7</f>
        <v>2182000</v>
      </c>
      <c r="O7" s="19" t="n">
        <f aca="false">IF(C7=0,"",M7/C7)</f>
        <v>0.696944444444445</v>
      </c>
    </row>
    <row r="8" customFormat="false" ht="15" hidden="false" customHeight="false" outlineLevel="0" collapsed="false">
      <c r="A8" s="5" t="s">
        <v>130</v>
      </c>
      <c r="B8" s="5" t="s">
        <v>132</v>
      </c>
      <c r="C8" s="17" t="n">
        <v>4800000</v>
      </c>
      <c r="D8" s="17" t="n">
        <v>230000</v>
      </c>
      <c r="E8" s="17" t="n">
        <v>355000</v>
      </c>
      <c r="F8" s="17" t="n">
        <v>233000</v>
      </c>
      <c r="G8" s="17" t="n">
        <v>238000</v>
      </c>
      <c r="H8" s="17" t="n">
        <v>226000</v>
      </c>
      <c r="I8" s="17" t="n">
        <v>182000</v>
      </c>
      <c r="J8" s="17" t="n">
        <v>260000</v>
      </c>
      <c r="K8" s="17" t="n">
        <v>369000</v>
      </c>
      <c r="L8" s="17" t="n">
        <v>341000</v>
      </c>
      <c r="M8" s="17" t="n">
        <f aca="false">SUM(D8:L8)</f>
        <v>2434000</v>
      </c>
      <c r="N8" s="24" t="n">
        <f aca="false">C8-M8</f>
        <v>2366000</v>
      </c>
      <c r="O8" s="19" t="n">
        <f aca="false">IF(C8=0,"",M8/C8)</f>
        <v>0.507083333333333</v>
      </c>
    </row>
    <row r="9" customFormat="false" ht="15" hidden="false" customHeight="false" outlineLevel="0" collapsed="false">
      <c r="A9" s="5" t="s">
        <v>130</v>
      </c>
      <c r="B9" s="5" t="s">
        <v>133</v>
      </c>
      <c r="C9" s="17" t="n">
        <v>6000000</v>
      </c>
      <c r="D9" s="17" t="n">
        <v>395000</v>
      </c>
      <c r="E9" s="17" t="n">
        <v>260000</v>
      </c>
      <c r="F9" s="17" t="n">
        <v>287000</v>
      </c>
      <c r="G9" s="17" t="n">
        <v>262000</v>
      </c>
      <c r="H9" s="17" t="n">
        <v>296000</v>
      </c>
      <c r="I9" s="17" t="n">
        <v>488000</v>
      </c>
      <c r="J9" s="17" t="n">
        <v>451000</v>
      </c>
      <c r="K9" s="17" t="n">
        <v>573000</v>
      </c>
      <c r="L9" s="17" t="n">
        <v>374000</v>
      </c>
      <c r="M9" s="17" t="n">
        <f aca="false">SUM(D9:L9)</f>
        <v>3386000</v>
      </c>
      <c r="N9" s="24" t="n">
        <f aca="false">C9-M9</f>
        <v>2614000</v>
      </c>
      <c r="O9" s="19" t="n">
        <f aca="false">IF(C9=0,"",M9/C9)</f>
        <v>0.564333333333333</v>
      </c>
    </row>
    <row r="10" customFormat="false" ht="15" hidden="false" customHeight="false" outlineLevel="0" collapsed="false">
      <c r="A10" s="5" t="s">
        <v>130</v>
      </c>
      <c r="B10" s="5" t="s">
        <v>134</v>
      </c>
      <c r="C10" s="17" t="n">
        <v>18000000</v>
      </c>
      <c r="D10" s="17" t="n">
        <v>2019000</v>
      </c>
      <c r="E10" s="17" t="n">
        <v>1791000</v>
      </c>
      <c r="F10" s="17" t="n">
        <v>1854000</v>
      </c>
      <c r="G10" s="17" t="n">
        <v>1801000</v>
      </c>
      <c r="H10" s="17" t="n">
        <v>3536000</v>
      </c>
      <c r="I10" s="17" t="n">
        <v>1407000</v>
      </c>
      <c r="J10" s="17" t="n">
        <v>1274000</v>
      </c>
      <c r="K10" s="17" t="n">
        <v>1600000</v>
      </c>
      <c r="L10" s="17" t="n">
        <v>2282000</v>
      </c>
      <c r="M10" s="17" t="n">
        <f aca="false">SUM(D10:L10)</f>
        <v>17564000</v>
      </c>
      <c r="N10" s="24" t="n">
        <f aca="false">C10-M10</f>
        <v>436000</v>
      </c>
      <c r="O10" s="19" t="n">
        <f aca="false">IF(C10=0,"",M10/C10)</f>
        <v>0.975777777777778</v>
      </c>
    </row>
    <row r="11" customFormat="false" ht="15" hidden="false" customHeight="false" outlineLevel="0" collapsed="false">
      <c r="A11" s="5" t="s">
        <v>130</v>
      </c>
      <c r="B11" s="5" t="s">
        <v>135</v>
      </c>
      <c r="C11" s="17" t="n">
        <v>5400000</v>
      </c>
      <c r="D11" s="17" t="n">
        <v>351000</v>
      </c>
      <c r="E11" s="17" t="n">
        <v>310000</v>
      </c>
      <c r="F11" s="17" t="n">
        <v>348000</v>
      </c>
      <c r="G11" s="17" t="n">
        <v>309000</v>
      </c>
      <c r="H11" s="17" t="n">
        <v>361000</v>
      </c>
      <c r="I11" s="17" t="n">
        <v>246000</v>
      </c>
      <c r="J11" s="17" t="n">
        <v>366000</v>
      </c>
      <c r="K11" s="17" t="n">
        <v>238000</v>
      </c>
      <c r="L11" s="17" t="n">
        <v>320000</v>
      </c>
      <c r="M11" s="17" t="n">
        <f aca="false">SUM(D11:L11)</f>
        <v>2849000</v>
      </c>
      <c r="N11" s="24" t="n">
        <f aca="false">C11-M11</f>
        <v>2551000</v>
      </c>
      <c r="O11" s="19" t="n">
        <f aca="false">IF(C11=0,"",M11/C11)</f>
        <v>0.527592592592593</v>
      </c>
    </row>
    <row r="12" customFormat="false" ht="15" hidden="false" customHeight="false" outlineLevel="0" collapsed="false">
      <c r="A12" s="5" t="s">
        <v>130</v>
      </c>
      <c r="B12" s="5" t="s">
        <v>136</v>
      </c>
      <c r="C12" s="17" t="n">
        <v>9600000</v>
      </c>
      <c r="D12" s="17" t="n">
        <v>417000</v>
      </c>
      <c r="E12" s="17" t="n">
        <v>272000</v>
      </c>
      <c r="F12" s="17" t="n">
        <v>508000</v>
      </c>
      <c r="G12" s="17" t="n">
        <v>365000</v>
      </c>
      <c r="H12" s="17" t="n">
        <v>601000</v>
      </c>
      <c r="I12" s="17" t="n">
        <v>545000</v>
      </c>
      <c r="J12" s="17" t="n">
        <v>0</v>
      </c>
      <c r="K12" s="17" t="n">
        <v>534000</v>
      </c>
      <c r="L12" s="17" t="n">
        <v>376000</v>
      </c>
      <c r="M12" s="17" t="n">
        <f aca="false">SUM(D12:L12)</f>
        <v>3618000</v>
      </c>
      <c r="N12" s="24" t="n">
        <f aca="false">C12-M12</f>
        <v>5982000</v>
      </c>
      <c r="O12" s="19" t="n">
        <f aca="false">IF(C12=0,"",M12/C12)</f>
        <v>0.376875</v>
      </c>
    </row>
    <row r="13" customFormat="false" ht="15" hidden="false" customHeight="false" outlineLevel="0" collapsed="false">
      <c r="A13" s="5" t="s">
        <v>137</v>
      </c>
      <c r="B13" s="5" t="s">
        <v>138</v>
      </c>
      <c r="C13" s="17" t="n">
        <v>14400000</v>
      </c>
      <c r="D13" s="17" t="n">
        <v>1666000</v>
      </c>
      <c r="E13" s="17" t="n">
        <v>1302000</v>
      </c>
      <c r="F13" s="17" t="n">
        <v>1101000</v>
      </c>
      <c r="G13" s="17" t="n">
        <v>1321000</v>
      </c>
      <c r="H13" s="17" t="n">
        <v>1483000</v>
      </c>
      <c r="I13" s="17" t="n">
        <v>869000</v>
      </c>
      <c r="J13" s="17" t="n">
        <v>1379000</v>
      </c>
      <c r="K13" s="17" t="n">
        <v>875000</v>
      </c>
      <c r="L13" s="17" t="n">
        <v>882000</v>
      </c>
      <c r="M13" s="17" t="n">
        <f aca="false">SUM(D13:L13)</f>
        <v>10878000</v>
      </c>
      <c r="N13" s="24" t="n">
        <f aca="false">C13-M13</f>
        <v>3522000</v>
      </c>
      <c r="O13" s="19" t="n">
        <f aca="false">IF(C13=0,"",M13/C13)</f>
        <v>0.755416666666667</v>
      </c>
    </row>
    <row r="14" customFormat="false" ht="15" hidden="false" customHeight="false" outlineLevel="0" collapsed="false">
      <c r="A14" s="5" t="s">
        <v>137</v>
      </c>
      <c r="B14" s="5" t="s">
        <v>139</v>
      </c>
      <c r="C14" s="17" t="n">
        <v>8400000</v>
      </c>
      <c r="D14" s="17" t="n">
        <v>587000</v>
      </c>
      <c r="E14" s="17" t="n">
        <v>743000</v>
      </c>
      <c r="F14" s="17" t="n">
        <v>747000</v>
      </c>
      <c r="G14" s="17" t="n">
        <v>414000</v>
      </c>
      <c r="H14" s="17" t="n">
        <v>706000</v>
      </c>
      <c r="I14" s="17" t="n">
        <v>588000</v>
      </c>
      <c r="J14" s="17" t="n">
        <v>603000</v>
      </c>
      <c r="K14" s="17" t="n">
        <v>526000</v>
      </c>
      <c r="L14" s="17" t="n">
        <v>622000</v>
      </c>
      <c r="M14" s="17" t="n">
        <f aca="false">SUM(D14:L14)</f>
        <v>5536000</v>
      </c>
      <c r="N14" s="24" t="n">
        <f aca="false">C14-M14</f>
        <v>2864000</v>
      </c>
      <c r="O14" s="19" t="n">
        <f aca="false">IF(C14=0,"",M14/C14)</f>
        <v>0.659047619047619</v>
      </c>
    </row>
    <row r="15" customFormat="false" ht="15" hidden="false" customHeight="false" outlineLevel="0" collapsed="false">
      <c r="A15" s="5" t="s">
        <v>137</v>
      </c>
      <c r="B15" s="5" t="s">
        <v>140</v>
      </c>
      <c r="C15" s="17" t="n">
        <v>3000000</v>
      </c>
      <c r="D15" s="17" t="n">
        <v>96000</v>
      </c>
      <c r="E15" s="17" t="n">
        <v>87000</v>
      </c>
      <c r="F15" s="17" t="n">
        <v>129000</v>
      </c>
      <c r="G15" s="17" t="n">
        <v>141000</v>
      </c>
      <c r="H15" s="17" t="n">
        <v>168000</v>
      </c>
      <c r="I15" s="17" t="n">
        <v>143000</v>
      </c>
      <c r="J15" s="17" t="n">
        <v>114000</v>
      </c>
      <c r="K15" s="17" t="n">
        <v>100000</v>
      </c>
      <c r="L15" s="17" t="n">
        <v>89000</v>
      </c>
      <c r="M15" s="17" t="n">
        <f aca="false">SUM(D15:L15)</f>
        <v>1067000</v>
      </c>
      <c r="N15" s="24" t="n">
        <f aca="false">C15-M15</f>
        <v>1933000</v>
      </c>
      <c r="O15" s="19" t="n">
        <f aca="false">IF(C15=0,"",M15/C15)</f>
        <v>0.355666666666667</v>
      </c>
    </row>
    <row r="16" customFormat="false" ht="15" hidden="false" customHeight="false" outlineLevel="0" collapsed="false">
      <c r="A16" s="5" t="s">
        <v>141</v>
      </c>
      <c r="B16" s="5" t="s">
        <v>142</v>
      </c>
      <c r="C16" s="17" t="n">
        <v>12000000</v>
      </c>
      <c r="D16" s="17" t="n">
        <v>494000</v>
      </c>
      <c r="E16" s="17" t="n">
        <v>657000</v>
      </c>
      <c r="F16" s="17" t="n">
        <v>786000</v>
      </c>
      <c r="G16" s="17" t="n">
        <v>648000</v>
      </c>
      <c r="H16" s="17" t="n">
        <v>681000</v>
      </c>
      <c r="I16" s="17" t="n">
        <v>1084000</v>
      </c>
      <c r="J16" s="17" t="n">
        <v>859000</v>
      </c>
      <c r="K16" s="17" t="n">
        <v>1017000</v>
      </c>
      <c r="L16" s="17" t="n">
        <v>833000</v>
      </c>
      <c r="M16" s="17" t="n">
        <f aca="false">SUM(D16:L16)</f>
        <v>7059000</v>
      </c>
      <c r="N16" s="24" t="n">
        <f aca="false">C16-M16</f>
        <v>4941000</v>
      </c>
      <c r="O16" s="19" t="n">
        <f aca="false">IF(C16=0,"",M16/C16)</f>
        <v>0.58825</v>
      </c>
    </row>
    <row r="17" customFormat="false" ht="15" hidden="false" customHeight="false" outlineLevel="0" collapsed="false">
      <c r="A17" s="9" t="s">
        <v>109</v>
      </c>
      <c r="B17" s="25"/>
      <c r="C17" s="20" t="n">
        <f aca="false">SUM(C5:C16)</f>
        <v>436800000</v>
      </c>
      <c r="D17" s="20" t="n">
        <f aca="false">SUM(D5:D16)</f>
        <v>40647000</v>
      </c>
      <c r="E17" s="20" t="n">
        <f aca="false">SUM(E5:E16)</f>
        <v>43300000</v>
      </c>
      <c r="F17" s="20" t="n">
        <f aca="false">SUM(F5:F16)</f>
        <v>39067000</v>
      </c>
      <c r="G17" s="20" t="n">
        <f aca="false">SUM(G5:G16)</f>
        <v>44873000</v>
      </c>
      <c r="H17" s="20" t="n">
        <f aca="false">SUM(H5:H16)</f>
        <v>33943000</v>
      </c>
      <c r="I17" s="20" t="n">
        <f aca="false">SUM(I5:I16)</f>
        <v>27555000</v>
      </c>
      <c r="J17" s="20" t="n">
        <f aca="false">SUM(J5:J16)</f>
        <v>35442000</v>
      </c>
      <c r="K17" s="20" t="n">
        <f aca="false">SUM(K5:K16)</f>
        <v>37065000</v>
      </c>
      <c r="L17" s="20" t="n">
        <f aca="false">SUM(L5:L16)</f>
        <v>35502000</v>
      </c>
      <c r="M17" s="20" t="n">
        <f aca="false">SUM(M5:M16)</f>
        <v>337394000</v>
      </c>
      <c r="N17" s="20" t="n">
        <f aca="false">SUM(N5:N16)</f>
        <v>99406000</v>
      </c>
      <c r="O17" s="22" t="n">
        <f aca="false">M17/C17</f>
        <v>0.772422161172161</v>
      </c>
    </row>
    <row r="19" customFormat="false" ht="15" hidden="false" customHeight="false" outlineLevel="0" collapsed="false">
      <c r="A19" s="2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969"/>
    <pageSetUpPr fitToPage="false"/>
  </sheetPr>
  <dimension ref="A1:J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5" min="4" style="0" width="12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8"/>
  </cols>
  <sheetData>
    <row r="1" customFormat="false" ht="23.1" hidden="false" customHeight="false" outlineLevel="0" collapsed="false">
      <c r="A1" s="16" t="s">
        <v>144</v>
      </c>
    </row>
    <row r="2" customFormat="false" ht="15" hidden="false" customHeight="false" outlineLevel="0" collapsed="false">
      <c r="A2" s="2" t="s">
        <v>145</v>
      </c>
      <c r="E2" s="11" t="s">
        <v>73</v>
      </c>
    </row>
    <row r="4" customFormat="false" ht="30" hidden="false" customHeight="true" outlineLevel="0" collapsed="false">
      <c r="A4" s="12" t="s">
        <v>146</v>
      </c>
      <c r="B4" s="12" t="s">
        <v>147</v>
      </c>
      <c r="C4" s="12" t="s">
        <v>148</v>
      </c>
      <c r="D4" s="12" t="s">
        <v>149</v>
      </c>
      <c r="E4" s="12" t="s">
        <v>150</v>
      </c>
      <c r="F4" s="12" t="s">
        <v>151</v>
      </c>
      <c r="G4" s="12" t="s">
        <v>75</v>
      </c>
      <c r="H4" s="12" t="s">
        <v>152</v>
      </c>
      <c r="I4" s="12" t="s">
        <v>153</v>
      </c>
      <c r="J4" s="12" t="s">
        <v>154</v>
      </c>
    </row>
    <row r="5" customFormat="false" ht="15" hidden="false" customHeight="false" outlineLevel="0" collapsed="false">
      <c r="A5" s="26" t="s">
        <v>155</v>
      </c>
      <c r="B5" s="26" t="s">
        <v>156</v>
      </c>
      <c r="C5" s="27" t="s">
        <v>157</v>
      </c>
      <c r="D5" s="5" t="s">
        <v>158</v>
      </c>
      <c r="E5" s="5" t="s">
        <v>159</v>
      </c>
      <c r="F5" s="5" t="s">
        <v>95</v>
      </c>
      <c r="G5" s="5" t="s">
        <v>93</v>
      </c>
      <c r="H5" s="26" t="s">
        <v>86</v>
      </c>
      <c r="I5" s="27" t="s">
        <v>160</v>
      </c>
      <c r="J5" s="5"/>
    </row>
    <row r="6" customFormat="false" ht="15" hidden="false" customHeight="false" outlineLevel="0" collapsed="false">
      <c r="A6" s="26" t="s">
        <v>161</v>
      </c>
      <c r="B6" s="26" t="s">
        <v>162</v>
      </c>
      <c r="C6" s="27" t="s">
        <v>163</v>
      </c>
      <c r="D6" s="5" t="s">
        <v>164</v>
      </c>
      <c r="E6" s="5" t="s">
        <v>159</v>
      </c>
      <c r="F6" s="5" t="s">
        <v>95</v>
      </c>
      <c r="G6" s="5" t="s">
        <v>93</v>
      </c>
      <c r="H6" s="26" t="s">
        <v>98</v>
      </c>
      <c r="I6" s="27" t="s">
        <v>160</v>
      </c>
      <c r="J6" s="5"/>
    </row>
    <row r="7" customFormat="false" ht="15" hidden="false" customHeight="false" outlineLevel="0" collapsed="false">
      <c r="A7" s="26" t="s">
        <v>165</v>
      </c>
      <c r="B7" s="26" t="s">
        <v>156</v>
      </c>
      <c r="C7" s="27" t="s">
        <v>163</v>
      </c>
      <c r="D7" s="5" t="s">
        <v>166</v>
      </c>
      <c r="E7" s="5" t="s">
        <v>167</v>
      </c>
      <c r="F7" s="5" t="s">
        <v>95</v>
      </c>
      <c r="G7" s="5" t="s">
        <v>93</v>
      </c>
      <c r="H7" s="26" t="s">
        <v>100</v>
      </c>
      <c r="I7" s="27" t="s">
        <v>168</v>
      </c>
      <c r="J7" s="5" t="s">
        <v>169</v>
      </c>
    </row>
    <row r="8" customFormat="false" ht="15" hidden="false" customHeight="false" outlineLevel="0" collapsed="false">
      <c r="A8" s="26" t="s">
        <v>170</v>
      </c>
      <c r="B8" s="26" t="s">
        <v>171</v>
      </c>
      <c r="C8" s="27" t="s">
        <v>157</v>
      </c>
      <c r="D8" s="5" t="s">
        <v>172</v>
      </c>
      <c r="E8" s="5" t="s">
        <v>173</v>
      </c>
      <c r="F8" s="5" t="s">
        <v>89</v>
      </c>
      <c r="G8" s="5" t="s">
        <v>87</v>
      </c>
      <c r="H8" s="26" t="s">
        <v>100</v>
      </c>
      <c r="I8" s="27" t="s">
        <v>160</v>
      </c>
      <c r="J8" s="5"/>
    </row>
    <row r="9" customFormat="false" ht="15" hidden="false" customHeight="false" outlineLevel="0" collapsed="false">
      <c r="A9" s="26" t="s">
        <v>174</v>
      </c>
      <c r="B9" s="26" t="s">
        <v>175</v>
      </c>
      <c r="C9" s="27" t="s">
        <v>163</v>
      </c>
      <c r="D9" s="5" t="s">
        <v>176</v>
      </c>
      <c r="E9" s="5" t="s">
        <v>173</v>
      </c>
      <c r="F9" s="5" t="s">
        <v>89</v>
      </c>
      <c r="G9" s="5" t="s">
        <v>87</v>
      </c>
      <c r="H9" s="26" t="s">
        <v>107</v>
      </c>
      <c r="I9" s="27" t="s">
        <v>160</v>
      </c>
      <c r="J9" s="5"/>
    </row>
    <row r="10" customFormat="false" ht="15" hidden="false" customHeight="false" outlineLevel="0" collapsed="false">
      <c r="A10" s="26" t="s">
        <v>177</v>
      </c>
      <c r="B10" s="26" t="s">
        <v>156</v>
      </c>
      <c r="C10" s="27" t="s">
        <v>163</v>
      </c>
      <c r="D10" s="5" t="s">
        <v>158</v>
      </c>
      <c r="E10" s="5" t="s">
        <v>178</v>
      </c>
      <c r="F10" s="5" t="s">
        <v>95</v>
      </c>
      <c r="G10" s="5" t="s">
        <v>93</v>
      </c>
      <c r="H10" s="26" t="s">
        <v>107</v>
      </c>
      <c r="I10" s="27" t="s">
        <v>160</v>
      </c>
      <c r="J10" s="5"/>
    </row>
    <row r="11" customFormat="false" ht="15" hidden="false" customHeight="false" outlineLevel="0" collapsed="false">
      <c r="A11" s="26" t="s">
        <v>179</v>
      </c>
      <c r="B11" s="26" t="s">
        <v>156</v>
      </c>
      <c r="C11" s="27" t="s">
        <v>163</v>
      </c>
      <c r="D11" s="5" t="s">
        <v>180</v>
      </c>
      <c r="E11" s="5" t="s">
        <v>178</v>
      </c>
      <c r="F11" s="5" t="s">
        <v>95</v>
      </c>
      <c r="G11" s="5" t="s">
        <v>93</v>
      </c>
      <c r="H11" s="26" t="s">
        <v>86</v>
      </c>
      <c r="I11" s="27" t="s">
        <v>160</v>
      </c>
      <c r="J11" s="5"/>
    </row>
    <row r="12" customFormat="false" ht="15" hidden="false" customHeight="false" outlineLevel="0" collapsed="false">
      <c r="A12" s="26" t="s">
        <v>181</v>
      </c>
      <c r="B12" s="26" t="s">
        <v>162</v>
      </c>
      <c r="C12" s="27" t="s">
        <v>157</v>
      </c>
      <c r="D12" s="5" t="s">
        <v>182</v>
      </c>
      <c r="E12" s="5" t="s">
        <v>167</v>
      </c>
      <c r="F12" s="5" t="s">
        <v>94</v>
      </c>
      <c r="G12" s="5" t="s">
        <v>93</v>
      </c>
      <c r="H12" s="26" t="s">
        <v>103</v>
      </c>
      <c r="I12" s="27" t="s">
        <v>160</v>
      </c>
      <c r="J12" s="5"/>
    </row>
    <row r="13" customFormat="false" ht="15" hidden="false" customHeight="false" outlineLevel="0" collapsed="false">
      <c r="A13" s="26" t="s">
        <v>183</v>
      </c>
      <c r="B13" s="26" t="s">
        <v>171</v>
      </c>
      <c r="C13" s="27" t="s">
        <v>157</v>
      </c>
      <c r="D13" s="5" t="s">
        <v>184</v>
      </c>
      <c r="E13" s="5" t="s">
        <v>185</v>
      </c>
      <c r="F13" s="5" t="s">
        <v>92</v>
      </c>
      <c r="G13" s="5" t="s">
        <v>90</v>
      </c>
      <c r="H13" s="26" t="s">
        <v>107</v>
      </c>
      <c r="I13" s="27" t="s">
        <v>168</v>
      </c>
      <c r="J13" s="5" t="s">
        <v>186</v>
      </c>
    </row>
    <row r="14" customFormat="false" ht="15" hidden="false" customHeight="false" outlineLevel="0" collapsed="false">
      <c r="A14" s="26" t="s">
        <v>187</v>
      </c>
      <c r="B14" s="26" t="s">
        <v>188</v>
      </c>
      <c r="C14" s="27" t="s">
        <v>163</v>
      </c>
      <c r="D14" s="5" t="s">
        <v>189</v>
      </c>
      <c r="E14" s="5" t="s">
        <v>173</v>
      </c>
      <c r="F14" s="5" t="s">
        <v>89</v>
      </c>
      <c r="G14" s="5" t="s">
        <v>87</v>
      </c>
      <c r="H14" s="26" t="s">
        <v>99</v>
      </c>
      <c r="I14" s="27" t="s">
        <v>160</v>
      </c>
      <c r="J14" s="5"/>
    </row>
    <row r="15" customFormat="false" ht="15" hidden="false" customHeight="false" outlineLevel="0" collapsed="false">
      <c r="A15" s="26" t="s">
        <v>190</v>
      </c>
      <c r="B15" s="26" t="s">
        <v>188</v>
      </c>
      <c r="C15" s="27" t="s">
        <v>163</v>
      </c>
      <c r="D15" s="5" t="s">
        <v>180</v>
      </c>
      <c r="E15" s="5" t="s">
        <v>173</v>
      </c>
      <c r="F15" s="5" t="s">
        <v>89</v>
      </c>
      <c r="G15" s="5" t="s">
        <v>87</v>
      </c>
      <c r="H15" s="26" t="s">
        <v>99</v>
      </c>
      <c r="I15" s="27" t="s">
        <v>160</v>
      </c>
      <c r="J15" s="5"/>
    </row>
    <row r="16" customFormat="false" ht="15" hidden="false" customHeight="false" outlineLevel="0" collapsed="false">
      <c r="A16" s="26" t="s">
        <v>191</v>
      </c>
      <c r="B16" s="26" t="s">
        <v>162</v>
      </c>
      <c r="C16" s="27" t="s">
        <v>157</v>
      </c>
      <c r="D16" s="5" t="s">
        <v>192</v>
      </c>
      <c r="E16" s="5" t="s">
        <v>167</v>
      </c>
      <c r="F16" s="5" t="s">
        <v>95</v>
      </c>
      <c r="G16" s="5" t="s">
        <v>93</v>
      </c>
      <c r="H16" s="26" t="s">
        <v>107</v>
      </c>
      <c r="I16" s="27" t="s">
        <v>160</v>
      </c>
      <c r="J16" s="5"/>
    </row>
    <row r="17" customFormat="false" ht="15" hidden="false" customHeight="false" outlineLevel="0" collapsed="false">
      <c r="A17" s="26" t="s">
        <v>193</v>
      </c>
      <c r="B17" s="26" t="s">
        <v>188</v>
      </c>
      <c r="C17" s="27" t="s">
        <v>163</v>
      </c>
      <c r="D17" s="5" t="s">
        <v>184</v>
      </c>
      <c r="E17" s="5" t="s">
        <v>173</v>
      </c>
      <c r="F17" s="5" t="s">
        <v>89</v>
      </c>
      <c r="G17" s="5" t="s">
        <v>87</v>
      </c>
      <c r="H17" s="26" t="s">
        <v>96</v>
      </c>
      <c r="I17" s="27" t="s">
        <v>160</v>
      </c>
      <c r="J17" s="5"/>
    </row>
    <row r="18" customFormat="false" ht="15" hidden="false" customHeight="false" outlineLevel="0" collapsed="false">
      <c r="A18" s="26" t="s">
        <v>194</v>
      </c>
      <c r="B18" s="26" t="s">
        <v>162</v>
      </c>
      <c r="C18" s="27" t="s">
        <v>157</v>
      </c>
      <c r="D18" s="5" t="s">
        <v>195</v>
      </c>
      <c r="E18" s="5" t="s">
        <v>159</v>
      </c>
      <c r="F18" s="5" t="s">
        <v>94</v>
      </c>
      <c r="G18" s="5" t="s">
        <v>93</v>
      </c>
      <c r="H18" s="26" t="s">
        <v>98</v>
      </c>
      <c r="I18" s="27" t="s">
        <v>160</v>
      </c>
      <c r="J18" s="5"/>
    </row>
    <row r="19" customFormat="false" ht="15" hidden="false" customHeight="false" outlineLevel="0" collapsed="false">
      <c r="A19" s="26" t="s">
        <v>196</v>
      </c>
      <c r="B19" s="26" t="s">
        <v>162</v>
      </c>
      <c r="C19" s="27" t="s">
        <v>157</v>
      </c>
      <c r="D19" s="5" t="s">
        <v>197</v>
      </c>
      <c r="E19" s="5" t="s">
        <v>178</v>
      </c>
      <c r="F19" s="5" t="s">
        <v>94</v>
      </c>
      <c r="G19" s="5" t="s">
        <v>93</v>
      </c>
      <c r="H19" s="26" t="s">
        <v>96</v>
      </c>
      <c r="I19" s="27" t="s">
        <v>160</v>
      </c>
      <c r="J19" s="5"/>
    </row>
    <row r="20" customFormat="false" ht="15" hidden="false" customHeight="false" outlineLevel="0" collapsed="false">
      <c r="A20" s="26" t="s">
        <v>198</v>
      </c>
      <c r="B20" s="26" t="s">
        <v>171</v>
      </c>
      <c r="C20" s="27" t="s">
        <v>157</v>
      </c>
      <c r="D20" s="5" t="s">
        <v>172</v>
      </c>
      <c r="E20" s="5" t="s">
        <v>173</v>
      </c>
      <c r="F20" s="5" t="s">
        <v>92</v>
      </c>
      <c r="G20" s="5" t="s">
        <v>90</v>
      </c>
      <c r="H20" s="26" t="s">
        <v>96</v>
      </c>
      <c r="I20" s="27" t="s">
        <v>160</v>
      </c>
      <c r="J20" s="5"/>
    </row>
    <row r="21" customFormat="false" ht="15" hidden="false" customHeight="false" outlineLevel="0" collapsed="false">
      <c r="A21" s="26" t="s">
        <v>199</v>
      </c>
      <c r="B21" s="26" t="s">
        <v>162</v>
      </c>
      <c r="C21" s="27" t="s">
        <v>157</v>
      </c>
      <c r="D21" s="5" t="s">
        <v>172</v>
      </c>
      <c r="E21" s="5" t="s">
        <v>159</v>
      </c>
      <c r="F21" s="5" t="s">
        <v>94</v>
      </c>
      <c r="G21" s="5" t="s">
        <v>93</v>
      </c>
      <c r="H21" s="26" t="s">
        <v>102</v>
      </c>
      <c r="I21" s="27" t="s">
        <v>160</v>
      </c>
      <c r="J21" s="5"/>
    </row>
    <row r="22" customFormat="false" ht="15" hidden="false" customHeight="false" outlineLevel="0" collapsed="false">
      <c r="A22" s="26" t="s">
        <v>200</v>
      </c>
      <c r="B22" s="26" t="s">
        <v>175</v>
      </c>
      <c r="C22" s="27" t="s">
        <v>157</v>
      </c>
      <c r="D22" s="5" t="s">
        <v>195</v>
      </c>
      <c r="E22" s="5" t="s">
        <v>185</v>
      </c>
      <c r="F22" s="5" t="s">
        <v>88</v>
      </c>
      <c r="G22" s="5" t="s">
        <v>87</v>
      </c>
      <c r="H22" s="26" t="s">
        <v>99</v>
      </c>
      <c r="I22" s="27" t="s">
        <v>168</v>
      </c>
      <c r="J22" s="5" t="s">
        <v>186</v>
      </c>
    </row>
    <row r="23" customFormat="false" ht="15" hidden="false" customHeight="false" outlineLevel="0" collapsed="false">
      <c r="A23" s="26" t="s">
        <v>201</v>
      </c>
      <c r="B23" s="26" t="s">
        <v>171</v>
      </c>
      <c r="C23" s="27" t="s">
        <v>157</v>
      </c>
      <c r="D23" s="5" t="s">
        <v>164</v>
      </c>
      <c r="E23" s="5" t="s">
        <v>173</v>
      </c>
      <c r="F23" s="5" t="s">
        <v>92</v>
      </c>
      <c r="G23" s="5" t="s">
        <v>90</v>
      </c>
      <c r="H23" s="26" t="s">
        <v>105</v>
      </c>
      <c r="I23" s="27" t="s">
        <v>168</v>
      </c>
      <c r="J23" s="5" t="s">
        <v>202</v>
      </c>
    </row>
    <row r="24" customFormat="false" ht="15" hidden="false" customHeight="false" outlineLevel="0" collapsed="false">
      <c r="A24" s="26" t="s">
        <v>203</v>
      </c>
      <c r="B24" s="26" t="s">
        <v>171</v>
      </c>
      <c r="C24" s="27" t="s">
        <v>157</v>
      </c>
      <c r="D24" s="5" t="s">
        <v>189</v>
      </c>
      <c r="E24" s="5" t="s">
        <v>173</v>
      </c>
      <c r="F24" s="5" t="s">
        <v>89</v>
      </c>
      <c r="G24" s="5" t="s">
        <v>87</v>
      </c>
      <c r="H24" s="26" t="s">
        <v>102</v>
      </c>
      <c r="I24" s="27" t="s">
        <v>168</v>
      </c>
      <c r="J24" s="5" t="s">
        <v>202</v>
      </c>
    </row>
    <row r="25" customFormat="false" ht="15" hidden="false" customHeight="false" outlineLevel="0" collapsed="false">
      <c r="A25" s="26" t="s">
        <v>204</v>
      </c>
      <c r="B25" s="26" t="s">
        <v>156</v>
      </c>
      <c r="C25" s="27" t="s">
        <v>157</v>
      </c>
      <c r="D25" s="5" t="s">
        <v>166</v>
      </c>
      <c r="E25" s="5" t="s">
        <v>178</v>
      </c>
      <c r="F25" s="5" t="s">
        <v>94</v>
      </c>
      <c r="G25" s="5" t="s">
        <v>93</v>
      </c>
      <c r="H25" s="26" t="s">
        <v>98</v>
      </c>
      <c r="I25" s="27" t="s">
        <v>160</v>
      </c>
      <c r="J25" s="5"/>
    </row>
    <row r="26" customFormat="false" ht="15" hidden="false" customHeight="false" outlineLevel="0" collapsed="false">
      <c r="A26" s="26" t="s">
        <v>205</v>
      </c>
      <c r="B26" s="26" t="s">
        <v>171</v>
      </c>
      <c r="C26" s="27" t="s">
        <v>157</v>
      </c>
      <c r="D26" s="5" t="s">
        <v>195</v>
      </c>
      <c r="E26" s="5" t="s">
        <v>185</v>
      </c>
      <c r="F26" s="5" t="s">
        <v>92</v>
      </c>
      <c r="G26" s="5" t="s">
        <v>90</v>
      </c>
      <c r="H26" s="26" t="s">
        <v>107</v>
      </c>
      <c r="I26" s="27" t="s">
        <v>160</v>
      </c>
      <c r="J26" s="5"/>
    </row>
    <row r="27" customFormat="false" ht="15" hidden="false" customHeight="false" outlineLevel="0" collapsed="false">
      <c r="A27" s="26" t="s">
        <v>206</v>
      </c>
      <c r="B27" s="26" t="s">
        <v>156</v>
      </c>
      <c r="C27" s="27" t="s">
        <v>163</v>
      </c>
      <c r="D27" s="5" t="s">
        <v>166</v>
      </c>
      <c r="E27" s="5" t="s">
        <v>178</v>
      </c>
      <c r="F27" s="5" t="s">
        <v>95</v>
      </c>
      <c r="G27" s="5" t="s">
        <v>93</v>
      </c>
      <c r="H27" s="26" t="s">
        <v>96</v>
      </c>
      <c r="I27" s="27" t="s">
        <v>160</v>
      </c>
      <c r="J27" s="5"/>
    </row>
    <row r="28" customFormat="false" ht="15" hidden="false" customHeight="false" outlineLevel="0" collapsed="false">
      <c r="A28" s="26" t="s">
        <v>207</v>
      </c>
      <c r="B28" s="26" t="s">
        <v>171</v>
      </c>
      <c r="C28" s="27" t="s">
        <v>163</v>
      </c>
      <c r="D28" s="5" t="s">
        <v>208</v>
      </c>
      <c r="E28" s="5" t="s">
        <v>173</v>
      </c>
      <c r="F28" s="5" t="s">
        <v>91</v>
      </c>
      <c r="G28" s="5" t="s">
        <v>90</v>
      </c>
      <c r="H28" s="26" t="s">
        <v>102</v>
      </c>
      <c r="I28" s="27" t="s">
        <v>160</v>
      </c>
      <c r="J28" s="5"/>
    </row>
    <row r="29" customFormat="false" ht="15" hidden="false" customHeight="false" outlineLevel="0" collapsed="false">
      <c r="A29" s="26" t="s">
        <v>209</v>
      </c>
      <c r="B29" s="26" t="s">
        <v>156</v>
      </c>
      <c r="C29" s="27" t="s">
        <v>157</v>
      </c>
      <c r="D29" s="5" t="s">
        <v>172</v>
      </c>
      <c r="E29" s="5" t="s">
        <v>159</v>
      </c>
      <c r="F29" s="5" t="s">
        <v>95</v>
      </c>
      <c r="G29" s="5" t="s">
        <v>93</v>
      </c>
      <c r="H29" s="26" t="s">
        <v>107</v>
      </c>
      <c r="I29" s="27" t="s">
        <v>160</v>
      </c>
      <c r="J29" s="5"/>
    </row>
    <row r="30" customFormat="false" ht="15" hidden="false" customHeight="false" outlineLevel="0" collapsed="false">
      <c r="A30" s="26" t="s">
        <v>210</v>
      </c>
      <c r="B30" s="26" t="s">
        <v>162</v>
      </c>
      <c r="C30" s="27" t="s">
        <v>157</v>
      </c>
      <c r="D30" s="5" t="s">
        <v>182</v>
      </c>
      <c r="E30" s="5" t="s">
        <v>159</v>
      </c>
      <c r="F30" s="5" t="s">
        <v>94</v>
      </c>
      <c r="G30" s="5" t="s">
        <v>93</v>
      </c>
      <c r="H30" s="26" t="s">
        <v>103</v>
      </c>
      <c r="I30" s="27" t="s">
        <v>160</v>
      </c>
      <c r="J30" s="5"/>
    </row>
    <row r="31" customFormat="false" ht="15" hidden="false" customHeight="false" outlineLevel="0" collapsed="false">
      <c r="A31" s="26" t="s">
        <v>211</v>
      </c>
      <c r="B31" s="26" t="s">
        <v>162</v>
      </c>
      <c r="C31" s="27" t="s">
        <v>157</v>
      </c>
      <c r="D31" s="5" t="s">
        <v>195</v>
      </c>
      <c r="E31" s="5" t="s">
        <v>178</v>
      </c>
      <c r="F31" s="5" t="s">
        <v>95</v>
      </c>
      <c r="G31" s="5" t="s">
        <v>93</v>
      </c>
      <c r="H31" s="26" t="s">
        <v>102</v>
      </c>
      <c r="I31" s="27" t="s">
        <v>160</v>
      </c>
      <c r="J31" s="5"/>
    </row>
    <row r="32" customFormat="false" ht="15" hidden="false" customHeight="false" outlineLevel="0" collapsed="false">
      <c r="A32" s="26" t="s">
        <v>212</v>
      </c>
      <c r="B32" s="26" t="s">
        <v>156</v>
      </c>
      <c r="C32" s="27" t="s">
        <v>157</v>
      </c>
      <c r="D32" s="5" t="s">
        <v>158</v>
      </c>
      <c r="E32" s="5" t="s">
        <v>159</v>
      </c>
      <c r="F32" s="5" t="s">
        <v>94</v>
      </c>
      <c r="G32" s="5" t="s">
        <v>93</v>
      </c>
      <c r="H32" s="26" t="s">
        <v>86</v>
      </c>
      <c r="I32" s="27" t="s">
        <v>168</v>
      </c>
      <c r="J32" s="5" t="s">
        <v>213</v>
      </c>
    </row>
    <row r="33" customFormat="false" ht="15" hidden="false" customHeight="false" outlineLevel="0" collapsed="false">
      <c r="A33" s="26" t="s">
        <v>214</v>
      </c>
      <c r="B33" s="26" t="s">
        <v>162</v>
      </c>
      <c r="C33" s="27" t="s">
        <v>157</v>
      </c>
      <c r="D33" s="5" t="s">
        <v>158</v>
      </c>
      <c r="E33" s="5" t="s">
        <v>167</v>
      </c>
      <c r="F33" s="5" t="s">
        <v>95</v>
      </c>
      <c r="G33" s="5" t="s">
        <v>93</v>
      </c>
      <c r="H33" s="26" t="s">
        <v>99</v>
      </c>
      <c r="I33" s="27" t="s">
        <v>168</v>
      </c>
      <c r="J33" s="5" t="s">
        <v>213</v>
      </c>
    </row>
    <row r="34" customFormat="false" ht="15" hidden="false" customHeight="false" outlineLevel="0" collapsed="false">
      <c r="A34" s="26" t="s">
        <v>215</v>
      </c>
      <c r="B34" s="26" t="s">
        <v>156</v>
      </c>
      <c r="C34" s="27" t="s">
        <v>163</v>
      </c>
      <c r="D34" s="5" t="s">
        <v>166</v>
      </c>
      <c r="E34" s="5" t="s">
        <v>167</v>
      </c>
      <c r="F34" s="5" t="s">
        <v>94</v>
      </c>
      <c r="G34" s="5" t="s">
        <v>93</v>
      </c>
      <c r="H34" s="26" t="s">
        <v>99</v>
      </c>
      <c r="I34" s="27" t="s">
        <v>160</v>
      </c>
      <c r="J34" s="5"/>
    </row>
    <row r="35" customFormat="false" ht="15" hidden="false" customHeight="false" outlineLevel="0" collapsed="false">
      <c r="A35" s="26" t="s">
        <v>216</v>
      </c>
      <c r="B35" s="26" t="s">
        <v>162</v>
      </c>
      <c r="C35" s="27" t="s">
        <v>163</v>
      </c>
      <c r="D35" s="5" t="s">
        <v>176</v>
      </c>
      <c r="E35" s="5" t="s">
        <v>178</v>
      </c>
      <c r="F35" s="5" t="s">
        <v>94</v>
      </c>
      <c r="G35" s="5" t="s">
        <v>93</v>
      </c>
      <c r="H35" s="26" t="s">
        <v>99</v>
      </c>
      <c r="I35" s="27" t="s">
        <v>160</v>
      </c>
      <c r="J35" s="5"/>
    </row>
    <row r="36" customFormat="false" ht="15" hidden="false" customHeight="false" outlineLevel="0" collapsed="false">
      <c r="A36" s="26" t="s">
        <v>217</v>
      </c>
      <c r="B36" s="26" t="s">
        <v>162</v>
      </c>
      <c r="C36" s="27" t="s">
        <v>157</v>
      </c>
      <c r="D36" s="5" t="s">
        <v>192</v>
      </c>
      <c r="E36" s="5" t="s">
        <v>167</v>
      </c>
      <c r="F36" s="5" t="s">
        <v>94</v>
      </c>
      <c r="G36" s="5" t="s">
        <v>93</v>
      </c>
      <c r="H36" s="26" t="s">
        <v>107</v>
      </c>
      <c r="I36" s="27" t="s">
        <v>160</v>
      </c>
      <c r="J36" s="5"/>
    </row>
    <row r="37" customFormat="false" ht="15" hidden="false" customHeight="false" outlineLevel="0" collapsed="false">
      <c r="A37" s="26" t="s">
        <v>218</v>
      </c>
      <c r="B37" s="26" t="s">
        <v>162</v>
      </c>
      <c r="C37" s="27" t="s">
        <v>157</v>
      </c>
      <c r="D37" s="5" t="s">
        <v>182</v>
      </c>
      <c r="E37" s="5" t="s">
        <v>178</v>
      </c>
      <c r="F37" s="5" t="s">
        <v>95</v>
      </c>
      <c r="G37" s="5" t="s">
        <v>93</v>
      </c>
      <c r="H37" s="26" t="s">
        <v>107</v>
      </c>
      <c r="I37" s="27" t="s">
        <v>160</v>
      </c>
      <c r="J37" s="5"/>
    </row>
    <row r="38" customFormat="false" ht="15" hidden="false" customHeight="false" outlineLevel="0" collapsed="false">
      <c r="A38" s="26" t="s">
        <v>219</v>
      </c>
      <c r="B38" s="26" t="s">
        <v>162</v>
      </c>
      <c r="C38" s="27" t="s">
        <v>157</v>
      </c>
      <c r="D38" s="5" t="s">
        <v>192</v>
      </c>
      <c r="E38" s="5" t="s">
        <v>159</v>
      </c>
      <c r="F38" s="5" t="s">
        <v>95</v>
      </c>
      <c r="G38" s="5" t="s">
        <v>93</v>
      </c>
      <c r="H38" s="26" t="s">
        <v>102</v>
      </c>
      <c r="I38" s="27" t="s">
        <v>160</v>
      </c>
      <c r="J38" s="5"/>
    </row>
    <row r="39" customFormat="false" ht="15" hidden="false" customHeight="false" outlineLevel="0" collapsed="false">
      <c r="A39" s="26" t="s">
        <v>220</v>
      </c>
      <c r="B39" s="26" t="s">
        <v>156</v>
      </c>
      <c r="C39" s="27" t="s">
        <v>157</v>
      </c>
      <c r="D39" s="5" t="s">
        <v>221</v>
      </c>
      <c r="E39" s="5" t="s">
        <v>159</v>
      </c>
      <c r="F39" s="5" t="s">
        <v>94</v>
      </c>
      <c r="G39" s="5" t="s">
        <v>93</v>
      </c>
      <c r="H39" s="26" t="s">
        <v>86</v>
      </c>
      <c r="I39" s="27" t="s">
        <v>160</v>
      </c>
      <c r="J39" s="5"/>
    </row>
    <row r="40" customFormat="false" ht="15" hidden="false" customHeight="false" outlineLevel="0" collapsed="false">
      <c r="A40" s="26" t="s">
        <v>222</v>
      </c>
      <c r="B40" s="26" t="s">
        <v>156</v>
      </c>
      <c r="C40" s="27" t="s">
        <v>157</v>
      </c>
      <c r="D40" s="5" t="s">
        <v>195</v>
      </c>
      <c r="E40" s="5" t="s">
        <v>178</v>
      </c>
      <c r="F40" s="5" t="s">
        <v>95</v>
      </c>
      <c r="G40" s="5" t="s">
        <v>93</v>
      </c>
      <c r="H40" s="26" t="s">
        <v>105</v>
      </c>
      <c r="I40" s="27" t="s">
        <v>160</v>
      </c>
      <c r="J40" s="5"/>
    </row>
    <row r="41" customFormat="false" ht="15" hidden="false" customHeight="false" outlineLevel="0" collapsed="false">
      <c r="A41" s="26" t="s">
        <v>223</v>
      </c>
      <c r="B41" s="26" t="s">
        <v>171</v>
      </c>
      <c r="C41" s="27" t="s">
        <v>157</v>
      </c>
      <c r="D41" s="5" t="s">
        <v>195</v>
      </c>
      <c r="E41" s="5" t="s">
        <v>224</v>
      </c>
      <c r="F41" s="5" t="s">
        <v>89</v>
      </c>
      <c r="G41" s="5" t="s">
        <v>87</v>
      </c>
      <c r="H41" s="26" t="s">
        <v>86</v>
      </c>
      <c r="I41" s="27" t="s">
        <v>160</v>
      </c>
      <c r="J41" s="5"/>
    </row>
    <row r="42" customFormat="false" ht="15" hidden="false" customHeight="false" outlineLevel="0" collapsed="false">
      <c r="A42" s="26" t="s">
        <v>225</v>
      </c>
      <c r="B42" s="26" t="s">
        <v>188</v>
      </c>
      <c r="C42" s="27" t="s">
        <v>157</v>
      </c>
      <c r="D42" s="5" t="s">
        <v>164</v>
      </c>
      <c r="E42" s="5" t="s">
        <v>224</v>
      </c>
      <c r="F42" s="5" t="s">
        <v>92</v>
      </c>
      <c r="G42" s="5" t="s">
        <v>90</v>
      </c>
      <c r="H42" s="26" t="s">
        <v>100</v>
      </c>
      <c r="I42" s="27" t="s">
        <v>160</v>
      </c>
      <c r="J42" s="5"/>
    </row>
    <row r="43" customFormat="false" ht="15" hidden="false" customHeight="false" outlineLevel="0" collapsed="false">
      <c r="A43" s="26" t="s">
        <v>226</v>
      </c>
      <c r="B43" s="26" t="s">
        <v>188</v>
      </c>
      <c r="C43" s="27" t="s">
        <v>157</v>
      </c>
      <c r="D43" s="5" t="s">
        <v>158</v>
      </c>
      <c r="E43" s="5" t="s">
        <v>185</v>
      </c>
      <c r="F43" s="5" t="s">
        <v>92</v>
      </c>
      <c r="G43" s="5" t="s">
        <v>90</v>
      </c>
      <c r="H43" s="26" t="s">
        <v>102</v>
      </c>
      <c r="I43" s="27" t="s">
        <v>168</v>
      </c>
      <c r="J43" s="5" t="s">
        <v>213</v>
      </c>
    </row>
    <row r="44" customFormat="false" ht="15" hidden="false" customHeight="false" outlineLevel="0" collapsed="false">
      <c r="A44" s="26" t="s">
        <v>227</v>
      </c>
      <c r="B44" s="26" t="s">
        <v>171</v>
      </c>
      <c r="C44" s="27" t="s">
        <v>163</v>
      </c>
      <c r="D44" s="5" t="s">
        <v>189</v>
      </c>
      <c r="E44" s="5" t="s">
        <v>185</v>
      </c>
      <c r="F44" s="5" t="s">
        <v>91</v>
      </c>
      <c r="G44" s="5" t="s">
        <v>90</v>
      </c>
      <c r="H44" s="26" t="s">
        <v>107</v>
      </c>
      <c r="I44" s="27" t="s">
        <v>168</v>
      </c>
      <c r="J44" s="5" t="s">
        <v>202</v>
      </c>
    </row>
    <row r="45" customFormat="false" ht="15" hidden="false" customHeight="false" outlineLevel="0" collapsed="false">
      <c r="A45" s="26" t="s">
        <v>228</v>
      </c>
      <c r="B45" s="26" t="s">
        <v>188</v>
      </c>
      <c r="C45" s="27" t="s">
        <v>163</v>
      </c>
      <c r="D45" s="5" t="s">
        <v>197</v>
      </c>
      <c r="E45" s="5" t="s">
        <v>185</v>
      </c>
      <c r="F45" s="5" t="s">
        <v>92</v>
      </c>
      <c r="G45" s="5" t="s">
        <v>90</v>
      </c>
      <c r="H45" s="26" t="s">
        <v>99</v>
      </c>
      <c r="I45" s="27" t="s">
        <v>168</v>
      </c>
      <c r="J45" s="5" t="s">
        <v>202</v>
      </c>
    </row>
    <row r="46" customFormat="false" ht="15" hidden="false" customHeight="false" outlineLevel="0" collapsed="false">
      <c r="A46" s="26" t="s">
        <v>229</v>
      </c>
      <c r="B46" s="26" t="s">
        <v>162</v>
      </c>
      <c r="C46" s="27" t="s">
        <v>157</v>
      </c>
      <c r="D46" s="5" t="s">
        <v>230</v>
      </c>
      <c r="E46" s="5" t="s">
        <v>167</v>
      </c>
      <c r="F46" s="5" t="s">
        <v>94</v>
      </c>
      <c r="G46" s="5" t="s">
        <v>93</v>
      </c>
      <c r="H46" s="26" t="s">
        <v>105</v>
      </c>
      <c r="I46" s="27" t="s">
        <v>160</v>
      </c>
      <c r="J46" s="5"/>
    </row>
    <row r="47" customFormat="false" ht="15" hidden="false" customHeight="false" outlineLevel="0" collapsed="false">
      <c r="A47" s="26" t="s">
        <v>231</v>
      </c>
      <c r="B47" s="26" t="s">
        <v>171</v>
      </c>
      <c r="C47" s="27" t="s">
        <v>157</v>
      </c>
      <c r="D47" s="5" t="s">
        <v>192</v>
      </c>
      <c r="E47" s="5" t="s">
        <v>185</v>
      </c>
      <c r="F47" s="5" t="s">
        <v>89</v>
      </c>
      <c r="G47" s="5" t="s">
        <v>87</v>
      </c>
      <c r="H47" s="26" t="s">
        <v>107</v>
      </c>
      <c r="I47" s="27" t="s">
        <v>160</v>
      </c>
      <c r="J47" s="5"/>
    </row>
    <row r="48" customFormat="false" ht="15" hidden="false" customHeight="false" outlineLevel="0" collapsed="false">
      <c r="A48" s="26" t="s">
        <v>232</v>
      </c>
      <c r="B48" s="26" t="s">
        <v>175</v>
      </c>
      <c r="C48" s="27" t="s">
        <v>157</v>
      </c>
      <c r="D48" s="5" t="s">
        <v>184</v>
      </c>
      <c r="E48" s="5" t="s">
        <v>224</v>
      </c>
      <c r="F48" s="5" t="s">
        <v>89</v>
      </c>
      <c r="G48" s="5" t="s">
        <v>87</v>
      </c>
      <c r="H48" s="26" t="s">
        <v>86</v>
      </c>
      <c r="I48" s="27" t="s">
        <v>168</v>
      </c>
      <c r="J48" s="5" t="s">
        <v>213</v>
      </c>
    </row>
    <row r="49" customFormat="false" ht="15" hidden="false" customHeight="false" outlineLevel="0" collapsed="false">
      <c r="A49" s="26" t="s">
        <v>233</v>
      </c>
      <c r="B49" s="26" t="s">
        <v>171</v>
      </c>
      <c r="C49" s="27" t="s">
        <v>163</v>
      </c>
      <c r="D49" s="5" t="s">
        <v>195</v>
      </c>
      <c r="E49" s="5" t="s">
        <v>173</v>
      </c>
      <c r="F49" s="5" t="s">
        <v>88</v>
      </c>
      <c r="G49" s="5" t="s">
        <v>87</v>
      </c>
      <c r="H49" s="26" t="s">
        <v>107</v>
      </c>
      <c r="I49" s="27" t="s">
        <v>168</v>
      </c>
      <c r="J49" s="5" t="s">
        <v>213</v>
      </c>
    </row>
    <row r="50" customFormat="false" ht="15" hidden="false" customHeight="false" outlineLevel="0" collapsed="false">
      <c r="A50" s="26" t="s">
        <v>234</v>
      </c>
      <c r="B50" s="26" t="s">
        <v>171</v>
      </c>
      <c r="C50" s="27" t="s">
        <v>163</v>
      </c>
      <c r="D50" s="5" t="s">
        <v>164</v>
      </c>
      <c r="E50" s="5" t="s">
        <v>173</v>
      </c>
      <c r="F50" s="5" t="s">
        <v>89</v>
      </c>
      <c r="G50" s="5" t="s">
        <v>87</v>
      </c>
      <c r="H50" s="26" t="s">
        <v>103</v>
      </c>
      <c r="I50" s="27" t="s">
        <v>160</v>
      </c>
      <c r="J50" s="5"/>
    </row>
    <row r="51" customFormat="false" ht="15" hidden="false" customHeight="false" outlineLevel="0" collapsed="false">
      <c r="A51" s="26" t="s">
        <v>235</v>
      </c>
      <c r="B51" s="26" t="s">
        <v>156</v>
      </c>
      <c r="C51" s="27" t="s">
        <v>157</v>
      </c>
      <c r="D51" s="5" t="s">
        <v>195</v>
      </c>
      <c r="E51" s="5" t="s">
        <v>167</v>
      </c>
      <c r="F51" s="5" t="s">
        <v>95</v>
      </c>
      <c r="G51" s="5" t="s">
        <v>93</v>
      </c>
      <c r="H51" s="26" t="s">
        <v>102</v>
      </c>
      <c r="I51" s="27" t="s">
        <v>168</v>
      </c>
      <c r="J51" s="5" t="s">
        <v>236</v>
      </c>
    </row>
    <row r="52" customFormat="false" ht="15" hidden="false" customHeight="false" outlineLevel="0" collapsed="false">
      <c r="A52" s="26" t="s">
        <v>237</v>
      </c>
      <c r="B52" s="26" t="s">
        <v>171</v>
      </c>
      <c r="C52" s="27" t="s">
        <v>157</v>
      </c>
      <c r="D52" s="5" t="s">
        <v>184</v>
      </c>
      <c r="E52" s="5" t="s">
        <v>224</v>
      </c>
      <c r="F52" s="5" t="s">
        <v>88</v>
      </c>
      <c r="G52" s="5" t="s">
        <v>87</v>
      </c>
      <c r="H52" s="26" t="s">
        <v>107</v>
      </c>
      <c r="I52" s="27" t="s">
        <v>160</v>
      </c>
      <c r="J52" s="5"/>
    </row>
    <row r="53" customFormat="false" ht="15" hidden="false" customHeight="false" outlineLevel="0" collapsed="false">
      <c r="A53" s="26" t="s">
        <v>238</v>
      </c>
      <c r="B53" s="26" t="s">
        <v>171</v>
      </c>
      <c r="C53" s="27" t="s">
        <v>157</v>
      </c>
      <c r="D53" s="5" t="s">
        <v>164</v>
      </c>
      <c r="E53" s="5" t="s">
        <v>173</v>
      </c>
      <c r="F53" s="5" t="s">
        <v>88</v>
      </c>
      <c r="G53" s="5" t="s">
        <v>87</v>
      </c>
      <c r="H53" s="26" t="s">
        <v>100</v>
      </c>
      <c r="I53" s="27" t="s">
        <v>160</v>
      </c>
      <c r="J53" s="5"/>
    </row>
    <row r="54" customFormat="false" ht="15" hidden="false" customHeight="false" outlineLevel="0" collapsed="false">
      <c r="A54" s="26" t="s">
        <v>239</v>
      </c>
      <c r="B54" s="26" t="s">
        <v>188</v>
      </c>
      <c r="C54" s="27" t="s">
        <v>163</v>
      </c>
      <c r="D54" s="5" t="s">
        <v>192</v>
      </c>
      <c r="E54" s="5" t="s">
        <v>173</v>
      </c>
      <c r="F54" s="5" t="s">
        <v>91</v>
      </c>
      <c r="G54" s="5" t="s">
        <v>90</v>
      </c>
      <c r="H54" s="26" t="s">
        <v>103</v>
      </c>
      <c r="I54" s="27" t="s">
        <v>160</v>
      </c>
      <c r="J54" s="5"/>
    </row>
    <row r="55" customFormat="false" ht="15" hidden="false" customHeight="false" outlineLevel="0" collapsed="false">
      <c r="A55" s="26" t="s">
        <v>240</v>
      </c>
      <c r="B55" s="26" t="s">
        <v>188</v>
      </c>
      <c r="C55" s="27" t="s">
        <v>157</v>
      </c>
      <c r="D55" s="5" t="s">
        <v>195</v>
      </c>
      <c r="E55" s="5" t="s">
        <v>173</v>
      </c>
      <c r="F55" s="5" t="s">
        <v>89</v>
      </c>
      <c r="G55" s="5" t="s">
        <v>87</v>
      </c>
      <c r="H55" s="26" t="s">
        <v>98</v>
      </c>
      <c r="I55" s="27" t="s">
        <v>160</v>
      </c>
      <c r="J55" s="5"/>
    </row>
    <row r="56" customFormat="false" ht="15" hidden="false" customHeight="false" outlineLevel="0" collapsed="false">
      <c r="A56" s="26" t="s">
        <v>241</v>
      </c>
      <c r="B56" s="26" t="s">
        <v>156</v>
      </c>
      <c r="C56" s="27" t="s">
        <v>157</v>
      </c>
      <c r="D56" s="5" t="s">
        <v>164</v>
      </c>
      <c r="E56" s="5" t="s">
        <v>167</v>
      </c>
      <c r="F56" s="5" t="s">
        <v>94</v>
      </c>
      <c r="G56" s="5" t="s">
        <v>93</v>
      </c>
      <c r="H56" s="26" t="s">
        <v>100</v>
      </c>
      <c r="I56" s="27" t="s">
        <v>160</v>
      </c>
      <c r="J56" s="5"/>
    </row>
    <row r="57" customFormat="false" ht="15" hidden="false" customHeight="false" outlineLevel="0" collapsed="false">
      <c r="A57" s="26" t="s">
        <v>242</v>
      </c>
      <c r="B57" s="26" t="s">
        <v>156</v>
      </c>
      <c r="C57" s="27" t="s">
        <v>163</v>
      </c>
      <c r="D57" s="5" t="s">
        <v>243</v>
      </c>
      <c r="E57" s="5" t="s">
        <v>167</v>
      </c>
      <c r="F57" s="5" t="s">
        <v>95</v>
      </c>
      <c r="G57" s="5" t="s">
        <v>93</v>
      </c>
      <c r="H57" s="26" t="s">
        <v>99</v>
      </c>
      <c r="I57" s="27" t="s">
        <v>160</v>
      </c>
      <c r="J57" s="5"/>
    </row>
    <row r="58" customFormat="false" ht="15" hidden="false" customHeight="false" outlineLevel="0" collapsed="false">
      <c r="A58" s="26" t="s">
        <v>244</v>
      </c>
      <c r="B58" s="26" t="s">
        <v>162</v>
      </c>
      <c r="C58" s="27" t="s">
        <v>157</v>
      </c>
      <c r="D58" s="5" t="s">
        <v>189</v>
      </c>
      <c r="E58" s="5" t="s">
        <v>178</v>
      </c>
      <c r="F58" s="5" t="s">
        <v>95</v>
      </c>
      <c r="G58" s="5" t="s">
        <v>93</v>
      </c>
      <c r="H58" s="26" t="s">
        <v>98</v>
      </c>
      <c r="I58" s="27" t="s">
        <v>160</v>
      </c>
      <c r="J58" s="5"/>
    </row>
    <row r="59" customFormat="false" ht="15" hidden="false" customHeight="false" outlineLevel="0" collapsed="false">
      <c r="A59" s="26" t="s">
        <v>245</v>
      </c>
      <c r="B59" s="26" t="s">
        <v>171</v>
      </c>
      <c r="C59" s="27" t="s">
        <v>157</v>
      </c>
      <c r="D59" s="5" t="s">
        <v>182</v>
      </c>
      <c r="E59" s="5" t="s">
        <v>224</v>
      </c>
      <c r="F59" s="5" t="s">
        <v>88</v>
      </c>
      <c r="G59" s="5" t="s">
        <v>87</v>
      </c>
      <c r="H59" s="26" t="s">
        <v>98</v>
      </c>
      <c r="I59" s="27" t="s">
        <v>160</v>
      </c>
      <c r="J59" s="5"/>
    </row>
    <row r="60" customFormat="false" ht="15" hidden="false" customHeight="false" outlineLevel="0" collapsed="false">
      <c r="A60" s="26" t="s">
        <v>246</v>
      </c>
      <c r="B60" s="26" t="s">
        <v>156</v>
      </c>
      <c r="C60" s="27" t="s">
        <v>157</v>
      </c>
      <c r="D60" s="5" t="s">
        <v>182</v>
      </c>
      <c r="E60" s="5" t="s">
        <v>159</v>
      </c>
      <c r="F60" s="5" t="s">
        <v>95</v>
      </c>
      <c r="G60" s="5" t="s">
        <v>93</v>
      </c>
      <c r="H60" s="26" t="s">
        <v>107</v>
      </c>
      <c r="I60" s="27" t="s">
        <v>160</v>
      </c>
      <c r="J60" s="5"/>
    </row>
    <row r="61" customFormat="false" ht="15" hidden="false" customHeight="false" outlineLevel="0" collapsed="false">
      <c r="A61" s="26" t="s">
        <v>247</v>
      </c>
      <c r="B61" s="26" t="s">
        <v>188</v>
      </c>
      <c r="C61" s="27" t="s">
        <v>163</v>
      </c>
      <c r="D61" s="5" t="s">
        <v>182</v>
      </c>
      <c r="E61" s="5" t="s">
        <v>185</v>
      </c>
      <c r="F61" s="5" t="s">
        <v>92</v>
      </c>
      <c r="G61" s="5" t="s">
        <v>90</v>
      </c>
      <c r="H61" s="26" t="s">
        <v>98</v>
      </c>
      <c r="I61" s="27" t="s">
        <v>160</v>
      </c>
      <c r="J61" s="5"/>
    </row>
    <row r="62" customFormat="false" ht="15" hidden="false" customHeight="false" outlineLevel="0" collapsed="false">
      <c r="A62" s="26" t="s">
        <v>248</v>
      </c>
      <c r="B62" s="26" t="s">
        <v>162</v>
      </c>
      <c r="C62" s="27" t="s">
        <v>157</v>
      </c>
      <c r="D62" s="5" t="s">
        <v>164</v>
      </c>
      <c r="E62" s="5" t="s">
        <v>159</v>
      </c>
      <c r="F62" s="5" t="s">
        <v>94</v>
      </c>
      <c r="G62" s="5" t="s">
        <v>93</v>
      </c>
      <c r="H62" s="26" t="s">
        <v>86</v>
      </c>
      <c r="I62" s="27" t="s">
        <v>160</v>
      </c>
      <c r="J62" s="5"/>
    </row>
    <row r="63" customFormat="false" ht="15" hidden="false" customHeight="false" outlineLevel="0" collapsed="false">
      <c r="A63" s="26" t="s">
        <v>249</v>
      </c>
      <c r="B63" s="26" t="s">
        <v>156</v>
      </c>
      <c r="C63" s="27" t="s">
        <v>163</v>
      </c>
      <c r="D63" s="5" t="s">
        <v>197</v>
      </c>
      <c r="E63" s="5" t="s">
        <v>159</v>
      </c>
      <c r="F63" s="5" t="s">
        <v>95</v>
      </c>
      <c r="G63" s="5" t="s">
        <v>93</v>
      </c>
      <c r="H63" s="26" t="s">
        <v>102</v>
      </c>
      <c r="I63" s="27" t="s">
        <v>168</v>
      </c>
      <c r="J63" s="5" t="s">
        <v>202</v>
      </c>
    </row>
    <row r="64" customFormat="false" ht="15" hidden="false" customHeight="false" outlineLevel="0" collapsed="false">
      <c r="A64" s="26" t="s">
        <v>250</v>
      </c>
      <c r="B64" s="26" t="s">
        <v>162</v>
      </c>
      <c r="C64" s="27" t="s">
        <v>163</v>
      </c>
      <c r="D64" s="5" t="s">
        <v>166</v>
      </c>
      <c r="E64" s="5" t="s">
        <v>159</v>
      </c>
      <c r="F64" s="5" t="s">
        <v>94</v>
      </c>
      <c r="G64" s="5" t="s">
        <v>93</v>
      </c>
      <c r="H64" s="26" t="s">
        <v>96</v>
      </c>
      <c r="I64" s="27" t="s">
        <v>160</v>
      </c>
      <c r="J64" s="5"/>
    </row>
    <row r="65" customFormat="false" ht="15" hidden="false" customHeight="false" outlineLevel="0" collapsed="false">
      <c r="A65" s="26" t="s">
        <v>251</v>
      </c>
      <c r="B65" s="26" t="s">
        <v>156</v>
      </c>
      <c r="C65" s="27" t="s">
        <v>157</v>
      </c>
      <c r="D65" s="5" t="s">
        <v>230</v>
      </c>
      <c r="E65" s="5" t="s">
        <v>167</v>
      </c>
      <c r="F65" s="5" t="s">
        <v>94</v>
      </c>
      <c r="G65" s="5" t="s">
        <v>93</v>
      </c>
      <c r="H65" s="26" t="s">
        <v>105</v>
      </c>
      <c r="I65" s="27" t="s">
        <v>160</v>
      </c>
      <c r="J65" s="5"/>
    </row>
    <row r="66" customFormat="false" ht="15" hidden="false" customHeight="false" outlineLevel="0" collapsed="false">
      <c r="A66" s="26" t="s">
        <v>252</v>
      </c>
      <c r="B66" s="26" t="s">
        <v>156</v>
      </c>
      <c r="C66" s="27" t="s">
        <v>157</v>
      </c>
      <c r="D66" s="5" t="s">
        <v>184</v>
      </c>
      <c r="E66" s="5" t="s">
        <v>167</v>
      </c>
      <c r="F66" s="5" t="s">
        <v>94</v>
      </c>
      <c r="G66" s="5" t="s">
        <v>93</v>
      </c>
      <c r="H66" s="26" t="s">
        <v>96</v>
      </c>
      <c r="I66" s="27" t="s">
        <v>160</v>
      </c>
      <c r="J66" s="5"/>
    </row>
    <row r="67" customFormat="false" ht="15" hidden="false" customHeight="false" outlineLevel="0" collapsed="false">
      <c r="A67" s="26" t="s">
        <v>253</v>
      </c>
      <c r="B67" s="26" t="s">
        <v>175</v>
      </c>
      <c r="C67" s="27" t="s">
        <v>163</v>
      </c>
      <c r="D67" s="5" t="s">
        <v>189</v>
      </c>
      <c r="E67" s="5" t="s">
        <v>224</v>
      </c>
      <c r="F67" s="5" t="s">
        <v>92</v>
      </c>
      <c r="G67" s="5" t="s">
        <v>90</v>
      </c>
      <c r="H67" s="26" t="s">
        <v>96</v>
      </c>
      <c r="I67" s="27" t="s">
        <v>160</v>
      </c>
      <c r="J67" s="5"/>
    </row>
    <row r="68" customFormat="false" ht="15" hidden="false" customHeight="false" outlineLevel="0" collapsed="false">
      <c r="A68" s="26" t="s">
        <v>254</v>
      </c>
      <c r="B68" s="26" t="s">
        <v>162</v>
      </c>
      <c r="C68" s="27" t="s">
        <v>157</v>
      </c>
      <c r="D68" s="5" t="s">
        <v>189</v>
      </c>
      <c r="E68" s="5" t="s">
        <v>167</v>
      </c>
      <c r="F68" s="5" t="s">
        <v>94</v>
      </c>
      <c r="G68" s="5" t="s">
        <v>93</v>
      </c>
      <c r="H68" s="26" t="s">
        <v>100</v>
      </c>
      <c r="I68" s="27" t="s">
        <v>168</v>
      </c>
      <c r="J68" s="5" t="s">
        <v>255</v>
      </c>
    </row>
    <row r="69" customFormat="false" ht="15" hidden="false" customHeight="false" outlineLevel="0" collapsed="false">
      <c r="A69" s="26" t="s">
        <v>256</v>
      </c>
      <c r="B69" s="26" t="s">
        <v>171</v>
      </c>
      <c r="C69" s="27" t="s">
        <v>157</v>
      </c>
      <c r="D69" s="5" t="s">
        <v>195</v>
      </c>
      <c r="E69" s="5" t="s">
        <v>185</v>
      </c>
      <c r="F69" s="5" t="s">
        <v>89</v>
      </c>
      <c r="G69" s="5" t="s">
        <v>87</v>
      </c>
      <c r="H69" s="26" t="s">
        <v>102</v>
      </c>
      <c r="I69" s="27" t="s">
        <v>160</v>
      </c>
      <c r="J69" s="5"/>
    </row>
    <row r="70" customFormat="false" ht="15" hidden="false" customHeight="false" outlineLevel="0" collapsed="false">
      <c r="A70" s="26" t="s">
        <v>257</v>
      </c>
      <c r="B70" s="26" t="s">
        <v>175</v>
      </c>
      <c r="C70" s="27" t="s">
        <v>163</v>
      </c>
      <c r="D70" s="5" t="s">
        <v>230</v>
      </c>
      <c r="E70" s="5" t="s">
        <v>173</v>
      </c>
      <c r="F70" s="5" t="s">
        <v>92</v>
      </c>
      <c r="G70" s="5" t="s">
        <v>90</v>
      </c>
      <c r="H70" s="26" t="s">
        <v>105</v>
      </c>
      <c r="I70" s="27" t="s">
        <v>160</v>
      </c>
      <c r="J70" s="5"/>
    </row>
    <row r="71" customFormat="false" ht="15" hidden="false" customHeight="false" outlineLevel="0" collapsed="false">
      <c r="A71" s="26" t="s">
        <v>258</v>
      </c>
      <c r="B71" s="26" t="s">
        <v>156</v>
      </c>
      <c r="C71" s="27" t="s">
        <v>157</v>
      </c>
      <c r="D71" s="5" t="s">
        <v>176</v>
      </c>
      <c r="E71" s="5" t="s">
        <v>159</v>
      </c>
      <c r="F71" s="5" t="s">
        <v>94</v>
      </c>
      <c r="G71" s="5" t="s">
        <v>93</v>
      </c>
      <c r="H71" s="26" t="s">
        <v>103</v>
      </c>
      <c r="I71" s="27" t="s">
        <v>160</v>
      </c>
      <c r="J71" s="5"/>
    </row>
    <row r="72" customFormat="false" ht="15" hidden="false" customHeight="false" outlineLevel="0" collapsed="false">
      <c r="A72" s="26" t="s">
        <v>259</v>
      </c>
      <c r="B72" s="26" t="s">
        <v>162</v>
      </c>
      <c r="C72" s="27" t="s">
        <v>163</v>
      </c>
      <c r="D72" s="5" t="s">
        <v>158</v>
      </c>
      <c r="E72" s="5" t="s">
        <v>167</v>
      </c>
      <c r="F72" s="5" t="s">
        <v>95</v>
      </c>
      <c r="G72" s="5" t="s">
        <v>93</v>
      </c>
      <c r="H72" s="26" t="s">
        <v>107</v>
      </c>
      <c r="I72" s="27" t="s">
        <v>160</v>
      </c>
      <c r="J72" s="5"/>
    </row>
    <row r="73" customFormat="false" ht="15" hidden="false" customHeight="false" outlineLevel="0" collapsed="false">
      <c r="A73" s="26" t="s">
        <v>260</v>
      </c>
      <c r="B73" s="26" t="s">
        <v>171</v>
      </c>
      <c r="C73" s="27" t="s">
        <v>163</v>
      </c>
      <c r="D73" s="5" t="s">
        <v>192</v>
      </c>
      <c r="E73" s="5" t="s">
        <v>173</v>
      </c>
      <c r="F73" s="5" t="s">
        <v>91</v>
      </c>
      <c r="G73" s="5" t="s">
        <v>90</v>
      </c>
      <c r="H73" s="26" t="s">
        <v>107</v>
      </c>
      <c r="I73" s="27" t="s">
        <v>160</v>
      </c>
      <c r="J73" s="5"/>
    </row>
    <row r="74" customFormat="false" ht="15" hidden="false" customHeight="false" outlineLevel="0" collapsed="false">
      <c r="A74" s="26" t="s">
        <v>261</v>
      </c>
      <c r="B74" s="26" t="s">
        <v>262</v>
      </c>
      <c r="C74" s="27" t="s">
        <v>163</v>
      </c>
      <c r="D74" s="5" t="s">
        <v>166</v>
      </c>
      <c r="E74" s="5" t="s">
        <v>173</v>
      </c>
      <c r="F74" s="5" t="s">
        <v>89</v>
      </c>
      <c r="G74" s="5" t="s">
        <v>87</v>
      </c>
      <c r="H74" s="26" t="s">
        <v>107</v>
      </c>
      <c r="I74" s="27" t="s">
        <v>160</v>
      </c>
      <c r="J74" s="5"/>
    </row>
    <row r="75" customFormat="false" ht="15" hidden="false" customHeight="false" outlineLevel="0" collapsed="false">
      <c r="A75" s="26" t="s">
        <v>263</v>
      </c>
      <c r="B75" s="26" t="s">
        <v>171</v>
      </c>
      <c r="C75" s="27" t="s">
        <v>157</v>
      </c>
      <c r="D75" s="5" t="s">
        <v>192</v>
      </c>
      <c r="E75" s="5" t="s">
        <v>185</v>
      </c>
      <c r="F75" s="5" t="s">
        <v>89</v>
      </c>
      <c r="G75" s="5" t="s">
        <v>87</v>
      </c>
      <c r="H75" s="26" t="s">
        <v>86</v>
      </c>
      <c r="I75" s="27" t="s">
        <v>168</v>
      </c>
      <c r="J75" s="5" t="s">
        <v>169</v>
      </c>
    </row>
    <row r="76" customFormat="false" ht="15" hidden="false" customHeight="false" outlineLevel="0" collapsed="false">
      <c r="A76" s="26" t="s">
        <v>264</v>
      </c>
      <c r="B76" s="26" t="s">
        <v>171</v>
      </c>
      <c r="C76" s="27" t="s">
        <v>157</v>
      </c>
      <c r="D76" s="5" t="s">
        <v>182</v>
      </c>
      <c r="E76" s="5" t="s">
        <v>185</v>
      </c>
      <c r="F76" s="5" t="s">
        <v>88</v>
      </c>
      <c r="G76" s="5" t="s">
        <v>87</v>
      </c>
      <c r="H76" s="26" t="s">
        <v>98</v>
      </c>
      <c r="I76" s="27" t="s">
        <v>160</v>
      </c>
      <c r="J76" s="5"/>
    </row>
    <row r="77" customFormat="false" ht="15" hidden="false" customHeight="false" outlineLevel="0" collapsed="false">
      <c r="A77" s="26" t="s">
        <v>265</v>
      </c>
      <c r="B77" s="26" t="s">
        <v>171</v>
      </c>
      <c r="C77" s="27" t="s">
        <v>157</v>
      </c>
      <c r="D77" s="5" t="s">
        <v>182</v>
      </c>
      <c r="E77" s="5" t="s">
        <v>185</v>
      </c>
      <c r="F77" s="5" t="s">
        <v>88</v>
      </c>
      <c r="G77" s="5" t="s">
        <v>87</v>
      </c>
      <c r="H77" s="26" t="s">
        <v>105</v>
      </c>
      <c r="I77" s="27" t="s">
        <v>168</v>
      </c>
      <c r="J77" s="5" t="s">
        <v>202</v>
      </c>
    </row>
    <row r="78" customFormat="false" ht="15" hidden="false" customHeight="false" outlineLevel="0" collapsed="false">
      <c r="A78" s="26" t="s">
        <v>266</v>
      </c>
      <c r="B78" s="26" t="s">
        <v>171</v>
      </c>
      <c r="C78" s="27" t="s">
        <v>157</v>
      </c>
      <c r="D78" s="5" t="s">
        <v>221</v>
      </c>
      <c r="E78" s="5" t="s">
        <v>185</v>
      </c>
      <c r="F78" s="5" t="s">
        <v>88</v>
      </c>
      <c r="G78" s="5" t="s">
        <v>87</v>
      </c>
      <c r="H78" s="26" t="s">
        <v>107</v>
      </c>
      <c r="I78" s="27" t="s">
        <v>168</v>
      </c>
      <c r="J78" s="5" t="s">
        <v>213</v>
      </c>
    </row>
    <row r="79" customFormat="false" ht="15" hidden="false" customHeight="false" outlineLevel="0" collapsed="false">
      <c r="A79" s="26" t="s">
        <v>267</v>
      </c>
      <c r="B79" s="26" t="s">
        <v>262</v>
      </c>
      <c r="C79" s="27" t="s">
        <v>157</v>
      </c>
      <c r="D79" s="5" t="s">
        <v>164</v>
      </c>
      <c r="E79" s="5" t="s">
        <v>185</v>
      </c>
      <c r="F79" s="5" t="s">
        <v>88</v>
      </c>
      <c r="G79" s="5" t="s">
        <v>87</v>
      </c>
      <c r="H79" s="26" t="s">
        <v>105</v>
      </c>
      <c r="I79" s="27" t="s">
        <v>168</v>
      </c>
      <c r="J79" s="5" t="s">
        <v>186</v>
      </c>
    </row>
    <row r="80" customFormat="false" ht="15" hidden="false" customHeight="false" outlineLevel="0" collapsed="false">
      <c r="A80" s="26" t="s">
        <v>268</v>
      </c>
      <c r="B80" s="26" t="s">
        <v>171</v>
      </c>
      <c r="C80" s="27" t="s">
        <v>157</v>
      </c>
      <c r="D80" s="5" t="s">
        <v>164</v>
      </c>
      <c r="E80" s="5" t="s">
        <v>173</v>
      </c>
      <c r="F80" s="5" t="s">
        <v>88</v>
      </c>
      <c r="G80" s="5" t="s">
        <v>87</v>
      </c>
      <c r="H80" s="26" t="s">
        <v>86</v>
      </c>
      <c r="I80" s="27" t="s">
        <v>160</v>
      </c>
      <c r="J80" s="5"/>
    </row>
    <row r="81" customFormat="false" ht="15" hidden="false" customHeight="false" outlineLevel="0" collapsed="false">
      <c r="A81" s="26" t="s">
        <v>269</v>
      </c>
      <c r="B81" s="26" t="s">
        <v>262</v>
      </c>
      <c r="C81" s="27" t="s">
        <v>157</v>
      </c>
      <c r="D81" s="5" t="s">
        <v>184</v>
      </c>
      <c r="E81" s="5" t="s">
        <v>173</v>
      </c>
      <c r="F81" s="5" t="s">
        <v>92</v>
      </c>
      <c r="G81" s="5" t="s">
        <v>90</v>
      </c>
      <c r="H81" s="26" t="s">
        <v>107</v>
      </c>
      <c r="I81" s="27" t="s">
        <v>160</v>
      </c>
      <c r="J81" s="5"/>
    </row>
    <row r="82" customFormat="false" ht="15" hidden="false" customHeight="false" outlineLevel="0" collapsed="false">
      <c r="A82" s="26" t="s">
        <v>270</v>
      </c>
      <c r="B82" s="26" t="s">
        <v>162</v>
      </c>
      <c r="C82" s="27" t="s">
        <v>157</v>
      </c>
      <c r="D82" s="5" t="s">
        <v>192</v>
      </c>
      <c r="E82" s="5" t="s">
        <v>159</v>
      </c>
      <c r="F82" s="5" t="s">
        <v>94</v>
      </c>
      <c r="G82" s="5" t="s">
        <v>93</v>
      </c>
      <c r="H82" s="26" t="s">
        <v>107</v>
      </c>
      <c r="I82" s="27" t="s">
        <v>168</v>
      </c>
      <c r="J82" s="5" t="s">
        <v>202</v>
      </c>
    </row>
    <row r="83" customFormat="false" ht="15" hidden="false" customHeight="false" outlineLevel="0" collapsed="false">
      <c r="A83" s="26" t="s">
        <v>271</v>
      </c>
      <c r="B83" s="26" t="s">
        <v>171</v>
      </c>
      <c r="C83" s="27" t="s">
        <v>163</v>
      </c>
      <c r="D83" s="5" t="s">
        <v>197</v>
      </c>
      <c r="E83" s="5" t="s">
        <v>173</v>
      </c>
      <c r="F83" s="5" t="s">
        <v>88</v>
      </c>
      <c r="G83" s="5" t="s">
        <v>87</v>
      </c>
      <c r="H83" s="26" t="s">
        <v>98</v>
      </c>
      <c r="I83" s="27" t="s">
        <v>160</v>
      </c>
      <c r="J83" s="5"/>
    </row>
    <row r="84" customFormat="false" ht="15" hidden="false" customHeight="false" outlineLevel="0" collapsed="false">
      <c r="A84" s="26" t="s">
        <v>272</v>
      </c>
      <c r="B84" s="26" t="s">
        <v>171</v>
      </c>
      <c r="C84" s="27" t="s">
        <v>157</v>
      </c>
      <c r="D84" s="5" t="s">
        <v>192</v>
      </c>
      <c r="E84" s="5" t="s">
        <v>224</v>
      </c>
      <c r="F84" s="5" t="s">
        <v>89</v>
      </c>
      <c r="G84" s="5" t="s">
        <v>87</v>
      </c>
      <c r="H84" s="26" t="s">
        <v>98</v>
      </c>
      <c r="I84" s="27" t="s">
        <v>160</v>
      </c>
      <c r="J84" s="5"/>
    </row>
    <row r="85" customFormat="false" ht="15" hidden="false" customHeight="false" outlineLevel="0" collapsed="false">
      <c r="A85" s="26" t="s">
        <v>273</v>
      </c>
      <c r="B85" s="26" t="s">
        <v>175</v>
      </c>
      <c r="C85" s="27" t="s">
        <v>163</v>
      </c>
      <c r="D85" s="5" t="s">
        <v>180</v>
      </c>
      <c r="E85" s="5" t="s">
        <v>173</v>
      </c>
      <c r="F85" s="5" t="s">
        <v>92</v>
      </c>
      <c r="G85" s="5" t="s">
        <v>90</v>
      </c>
      <c r="H85" s="26" t="s">
        <v>107</v>
      </c>
      <c r="I85" s="27" t="s">
        <v>160</v>
      </c>
      <c r="J85" s="5"/>
    </row>
    <row r="86" customFormat="false" ht="15" hidden="false" customHeight="false" outlineLevel="0" collapsed="false">
      <c r="A86" s="26" t="s">
        <v>274</v>
      </c>
      <c r="B86" s="26" t="s">
        <v>188</v>
      </c>
      <c r="C86" s="27" t="s">
        <v>157</v>
      </c>
      <c r="D86" s="5" t="s">
        <v>230</v>
      </c>
      <c r="E86" s="5" t="s">
        <v>173</v>
      </c>
      <c r="F86" s="5" t="s">
        <v>89</v>
      </c>
      <c r="G86" s="5" t="s">
        <v>87</v>
      </c>
      <c r="H86" s="26" t="s">
        <v>98</v>
      </c>
      <c r="I86" s="27" t="s">
        <v>160</v>
      </c>
      <c r="J86" s="5"/>
    </row>
    <row r="87" customFormat="false" ht="15" hidden="false" customHeight="false" outlineLevel="0" collapsed="false">
      <c r="A87" s="26" t="s">
        <v>275</v>
      </c>
      <c r="B87" s="26" t="s">
        <v>171</v>
      </c>
      <c r="C87" s="27" t="s">
        <v>163</v>
      </c>
      <c r="D87" s="5" t="s">
        <v>180</v>
      </c>
      <c r="E87" s="5" t="s">
        <v>173</v>
      </c>
      <c r="F87" s="5" t="s">
        <v>92</v>
      </c>
      <c r="G87" s="5" t="s">
        <v>90</v>
      </c>
      <c r="H87" s="26" t="s">
        <v>105</v>
      </c>
      <c r="I87" s="27" t="s">
        <v>168</v>
      </c>
      <c r="J87" s="5" t="s">
        <v>213</v>
      </c>
    </row>
    <row r="88" customFormat="false" ht="15" hidden="false" customHeight="false" outlineLevel="0" collapsed="false">
      <c r="A88" s="26" t="s">
        <v>276</v>
      </c>
      <c r="B88" s="26" t="s">
        <v>156</v>
      </c>
      <c r="C88" s="27" t="s">
        <v>163</v>
      </c>
      <c r="D88" s="5" t="s">
        <v>189</v>
      </c>
      <c r="E88" s="5" t="s">
        <v>167</v>
      </c>
      <c r="F88" s="5" t="s">
        <v>95</v>
      </c>
      <c r="G88" s="5" t="s">
        <v>93</v>
      </c>
      <c r="H88" s="26" t="s">
        <v>86</v>
      </c>
      <c r="I88" s="27" t="s">
        <v>168</v>
      </c>
      <c r="J88" s="5" t="s">
        <v>213</v>
      </c>
    </row>
    <row r="89" customFormat="false" ht="15" hidden="false" customHeight="false" outlineLevel="0" collapsed="false">
      <c r="A89" s="26" t="s">
        <v>277</v>
      </c>
      <c r="B89" s="26" t="s">
        <v>175</v>
      </c>
      <c r="C89" s="27" t="s">
        <v>157</v>
      </c>
      <c r="D89" s="5" t="s">
        <v>164</v>
      </c>
      <c r="E89" s="5" t="s">
        <v>185</v>
      </c>
      <c r="F89" s="5" t="s">
        <v>89</v>
      </c>
      <c r="G89" s="5" t="s">
        <v>87</v>
      </c>
      <c r="H89" s="26" t="s">
        <v>98</v>
      </c>
      <c r="I89" s="27" t="s">
        <v>168</v>
      </c>
      <c r="J89" s="5" t="s">
        <v>169</v>
      </c>
    </row>
    <row r="90" customFormat="false" ht="15" hidden="false" customHeight="false" outlineLevel="0" collapsed="false">
      <c r="A90" s="26" t="s">
        <v>278</v>
      </c>
      <c r="B90" s="26" t="s">
        <v>162</v>
      </c>
      <c r="C90" s="27" t="s">
        <v>157</v>
      </c>
      <c r="D90" s="5" t="s">
        <v>184</v>
      </c>
      <c r="E90" s="5" t="s">
        <v>178</v>
      </c>
      <c r="F90" s="5" t="s">
        <v>94</v>
      </c>
      <c r="G90" s="5" t="s">
        <v>93</v>
      </c>
      <c r="H90" s="26" t="s">
        <v>105</v>
      </c>
      <c r="I90" s="27" t="s">
        <v>160</v>
      </c>
      <c r="J90" s="5"/>
    </row>
    <row r="91" customFormat="false" ht="15" hidden="false" customHeight="false" outlineLevel="0" collapsed="false">
      <c r="A91" s="26" t="s">
        <v>279</v>
      </c>
      <c r="B91" s="26" t="s">
        <v>162</v>
      </c>
      <c r="C91" s="27" t="s">
        <v>163</v>
      </c>
      <c r="D91" s="5" t="s">
        <v>164</v>
      </c>
      <c r="E91" s="5" t="s">
        <v>178</v>
      </c>
      <c r="F91" s="5" t="s">
        <v>94</v>
      </c>
      <c r="G91" s="5" t="s">
        <v>93</v>
      </c>
      <c r="H91" s="26" t="s">
        <v>107</v>
      </c>
      <c r="I91" s="27" t="s">
        <v>160</v>
      </c>
      <c r="J91" s="5"/>
    </row>
    <row r="92" customFormat="false" ht="15" hidden="false" customHeight="false" outlineLevel="0" collapsed="false">
      <c r="A92" s="26" t="s">
        <v>280</v>
      </c>
      <c r="B92" s="26" t="s">
        <v>156</v>
      </c>
      <c r="C92" s="27" t="s">
        <v>163</v>
      </c>
      <c r="D92" s="5" t="s">
        <v>164</v>
      </c>
      <c r="E92" s="5" t="s">
        <v>178</v>
      </c>
      <c r="F92" s="5" t="s">
        <v>95</v>
      </c>
      <c r="G92" s="5" t="s">
        <v>93</v>
      </c>
      <c r="H92" s="26" t="s">
        <v>100</v>
      </c>
      <c r="I92" s="27" t="s">
        <v>160</v>
      </c>
      <c r="J92" s="5"/>
    </row>
    <row r="93" customFormat="false" ht="15" hidden="false" customHeight="false" outlineLevel="0" collapsed="false">
      <c r="A93" s="26" t="s">
        <v>281</v>
      </c>
      <c r="B93" s="26" t="s">
        <v>171</v>
      </c>
      <c r="C93" s="27" t="s">
        <v>157</v>
      </c>
      <c r="D93" s="5" t="s">
        <v>176</v>
      </c>
      <c r="E93" s="5" t="s">
        <v>173</v>
      </c>
      <c r="F93" s="5" t="s">
        <v>89</v>
      </c>
      <c r="G93" s="5" t="s">
        <v>87</v>
      </c>
      <c r="H93" s="26" t="s">
        <v>103</v>
      </c>
      <c r="I93" s="27" t="s">
        <v>160</v>
      </c>
      <c r="J93" s="5"/>
    </row>
    <row r="94" customFormat="false" ht="15" hidden="false" customHeight="false" outlineLevel="0" collapsed="false">
      <c r="A94" s="26" t="s">
        <v>282</v>
      </c>
      <c r="B94" s="26" t="s">
        <v>162</v>
      </c>
      <c r="C94" s="27" t="s">
        <v>163</v>
      </c>
      <c r="D94" s="5" t="s">
        <v>195</v>
      </c>
      <c r="E94" s="5" t="s">
        <v>159</v>
      </c>
      <c r="F94" s="5" t="s">
        <v>95</v>
      </c>
      <c r="G94" s="5" t="s">
        <v>93</v>
      </c>
      <c r="H94" s="26" t="s">
        <v>102</v>
      </c>
      <c r="I94" s="27" t="s">
        <v>160</v>
      </c>
      <c r="J94" s="5"/>
    </row>
    <row r="95" customFormat="false" ht="15" hidden="false" customHeight="false" outlineLevel="0" collapsed="false">
      <c r="A95" s="26" t="s">
        <v>283</v>
      </c>
      <c r="B95" s="26" t="s">
        <v>188</v>
      </c>
      <c r="C95" s="27" t="s">
        <v>157</v>
      </c>
      <c r="D95" s="5" t="s">
        <v>230</v>
      </c>
      <c r="E95" s="5" t="s">
        <v>185</v>
      </c>
      <c r="F95" s="5" t="s">
        <v>92</v>
      </c>
      <c r="G95" s="5" t="s">
        <v>90</v>
      </c>
      <c r="H95" s="26" t="s">
        <v>100</v>
      </c>
      <c r="I95" s="27" t="s">
        <v>168</v>
      </c>
      <c r="J95" s="5" t="s">
        <v>169</v>
      </c>
    </row>
    <row r="96" customFormat="false" ht="15" hidden="false" customHeight="false" outlineLevel="0" collapsed="false">
      <c r="A96" s="26" t="s">
        <v>284</v>
      </c>
      <c r="B96" s="26" t="s">
        <v>156</v>
      </c>
      <c r="C96" s="27" t="s">
        <v>157</v>
      </c>
      <c r="D96" s="5" t="s">
        <v>221</v>
      </c>
      <c r="E96" s="5" t="s">
        <v>159</v>
      </c>
      <c r="F96" s="5" t="s">
        <v>95</v>
      </c>
      <c r="G96" s="5" t="s">
        <v>93</v>
      </c>
      <c r="H96" s="26" t="s">
        <v>96</v>
      </c>
      <c r="I96" s="27" t="s">
        <v>160</v>
      </c>
      <c r="J96" s="5"/>
    </row>
    <row r="97" customFormat="false" ht="15" hidden="false" customHeight="false" outlineLevel="0" collapsed="false">
      <c r="A97" s="26" t="s">
        <v>285</v>
      </c>
      <c r="B97" s="26" t="s">
        <v>162</v>
      </c>
      <c r="C97" s="27" t="s">
        <v>157</v>
      </c>
      <c r="D97" s="5" t="s">
        <v>158</v>
      </c>
      <c r="E97" s="5" t="s">
        <v>178</v>
      </c>
      <c r="F97" s="5" t="s">
        <v>94</v>
      </c>
      <c r="G97" s="5" t="s">
        <v>93</v>
      </c>
      <c r="H97" s="26" t="s">
        <v>103</v>
      </c>
      <c r="I97" s="27" t="s">
        <v>160</v>
      </c>
      <c r="J97" s="5"/>
    </row>
    <row r="98" customFormat="false" ht="15" hidden="false" customHeight="false" outlineLevel="0" collapsed="false">
      <c r="A98" s="26" t="s">
        <v>286</v>
      </c>
      <c r="B98" s="26" t="s">
        <v>188</v>
      </c>
      <c r="C98" s="27" t="s">
        <v>163</v>
      </c>
      <c r="D98" s="5" t="s">
        <v>195</v>
      </c>
      <c r="E98" s="5" t="s">
        <v>224</v>
      </c>
      <c r="F98" s="5" t="s">
        <v>89</v>
      </c>
      <c r="G98" s="5" t="s">
        <v>87</v>
      </c>
      <c r="H98" s="26" t="s">
        <v>98</v>
      </c>
      <c r="I98" s="27" t="s">
        <v>160</v>
      </c>
      <c r="J98" s="5"/>
    </row>
    <row r="99" customFormat="false" ht="15" hidden="false" customHeight="false" outlineLevel="0" collapsed="false">
      <c r="A99" s="26" t="s">
        <v>287</v>
      </c>
      <c r="B99" s="26" t="s">
        <v>156</v>
      </c>
      <c r="C99" s="27" t="s">
        <v>163</v>
      </c>
      <c r="D99" s="5" t="s">
        <v>164</v>
      </c>
      <c r="E99" s="5" t="s">
        <v>167</v>
      </c>
      <c r="F99" s="5" t="s">
        <v>94</v>
      </c>
      <c r="G99" s="5" t="s">
        <v>93</v>
      </c>
      <c r="H99" s="26" t="s">
        <v>100</v>
      </c>
      <c r="I99" s="27" t="s">
        <v>160</v>
      </c>
      <c r="J99" s="5"/>
    </row>
    <row r="100" customFormat="false" ht="15" hidden="false" customHeight="false" outlineLevel="0" collapsed="false">
      <c r="A100" s="26" t="s">
        <v>288</v>
      </c>
      <c r="B100" s="26" t="s">
        <v>156</v>
      </c>
      <c r="C100" s="27" t="s">
        <v>157</v>
      </c>
      <c r="D100" s="5" t="s">
        <v>195</v>
      </c>
      <c r="E100" s="5" t="s">
        <v>167</v>
      </c>
      <c r="F100" s="5" t="s">
        <v>94</v>
      </c>
      <c r="G100" s="5" t="s">
        <v>93</v>
      </c>
      <c r="H100" s="26" t="s">
        <v>107</v>
      </c>
      <c r="I100" s="27" t="s">
        <v>160</v>
      </c>
      <c r="J100" s="5"/>
    </row>
    <row r="101" customFormat="false" ht="15" hidden="false" customHeight="false" outlineLevel="0" collapsed="false">
      <c r="A101" s="26" t="s">
        <v>289</v>
      </c>
      <c r="B101" s="26" t="s">
        <v>175</v>
      </c>
      <c r="C101" s="27" t="s">
        <v>163</v>
      </c>
      <c r="D101" s="5" t="s">
        <v>243</v>
      </c>
      <c r="E101" s="5" t="s">
        <v>224</v>
      </c>
      <c r="F101" s="5" t="s">
        <v>91</v>
      </c>
      <c r="G101" s="5" t="s">
        <v>90</v>
      </c>
      <c r="H101" s="26" t="s">
        <v>98</v>
      </c>
      <c r="I101" s="27" t="s">
        <v>160</v>
      </c>
      <c r="J101" s="5"/>
    </row>
    <row r="102" customFormat="false" ht="15" hidden="false" customHeight="false" outlineLevel="0" collapsed="false">
      <c r="A102" s="26" t="s">
        <v>290</v>
      </c>
      <c r="B102" s="26" t="s">
        <v>262</v>
      </c>
      <c r="C102" s="27" t="s">
        <v>157</v>
      </c>
      <c r="D102" s="5" t="s">
        <v>158</v>
      </c>
      <c r="E102" s="5" t="s">
        <v>224</v>
      </c>
      <c r="F102" s="5" t="s">
        <v>92</v>
      </c>
      <c r="G102" s="5" t="s">
        <v>90</v>
      </c>
      <c r="H102" s="26" t="s">
        <v>86</v>
      </c>
      <c r="I102" s="27" t="s">
        <v>160</v>
      </c>
      <c r="J102" s="5"/>
    </row>
    <row r="103" customFormat="false" ht="15" hidden="false" customHeight="false" outlineLevel="0" collapsed="false">
      <c r="A103" s="26" t="s">
        <v>291</v>
      </c>
      <c r="B103" s="26" t="s">
        <v>156</v>
      </c>
      <c r="C103" s="27" t="s">
        <v>157</v>
      </c>
      <c r="D103" s="5" t="s">
        <v>195</v>
      </c>
      <c r="E103" s="5" t="s">
        <v>167</v>
      </c>
      <c r="F103" s="5" t="s">
        <v>94</v>
      </c>
      <c r="G103" s="5" t="s">
        <v>93</v>
      </c>
      <c r="H103" s="26" t="s">
        <v>107</v>
      </c>
      <c r="I103" s="27" t="s">
        <v>160</v>
      </c>
      <c r="J103" s="5"/>
    </row>
    <row r="104" customFormat="false" ht="15" hidden="false" customHeight="false" outlineLevel="0" collapsed="false">
      <c r="A104" s="26" t="s">
        <v>292</v>
      </c>
      <c r="B104" s="26" t="s">
        <v>156</v>
      </c>
      <c r="C104" s="27" t="s">
        <v>157</v>
      </c>
      <c r="D104" s="5" t="s">
        <v>208</v>
      </c>
      <c r="E104" s="5" t="s">
        <v>167</v>
      </c>
      <c r="F104" s="5" t="s">
        <v>94</v>
      </c>
      <c r="G104" s="5" t="s">
        <v>93</v>
      </c>
      <c r="H104" s="26" t="s">
        <v>102</v>
      </c>
      <c r="I104" s="27" t="s">
        <v>168</v>
      </c>
      <c r="J104" s="5" t="s">
        <v>213</v>
      </c>
    </row>
    <row r="105" customFormat="false" ht="15" hidden="false" customHeight="false" outlineLevel="0" collapsed="false">
      <c r="A105" s="26" t="s">
        <v>293</v>
      </c>
      <c r="B105" s="26" t="s">
        <v>162</v>
      </c>
      <c r="C105" s="27" t="s">
        <v>157</v>
      </c>
      <c r="D105" s="5" t="s">
        <v>192</v>
      </c>
      <c r="E105" s="5" t="s">
        <v>178</v>
      </c>
      <c r="F105" s="5" t="s">
        <v>94</v>
      </c>
      <c r="G105" s="5" t="s">
        <v>93</v>
      </c>
      <c r="H105" s="26" t="s">
        <v>102</v>
      </c>
      <c r="I105" s="27" t="s">
        <v>160</v>
      </c>
      <c r="J105" s="5"/>
    </row>
    <row r="106" customFormat="false" ht="15" hidden="false" customHeight="false" outlineLevel="0" collapsed="false">
      <c r="A106" s="26" t="s">
        <v>294</v>
      </c>
      <c r="B106" s="26" t="s">
        <v>171</v>
      </c>
      <c r="C106" s="27" t="s">
        <v>163</v>
      </c>
      <c r="D106" s="5" t="s">
        <v>182</v>
      </c>
      <c r="E106" s="5" t="s">
        <v>173</v>
      </c>
      <c r="F106" s="5" t="s">
        <v>89</v>
      </c>
      <c r="G106" s="5" t="s">
        <v>87</v>
      </c>
      <c r="H106" s="26" t="s">
        <v>99</v>
      </c>
      <c r="I106" s="27" t="s">
        <v>168</v>
      </c>
      <c r="J106" s="5" t="s">
        <v>186</v>
      </c>
    </row>
    <row r="107" customFormat="false" ht="15" hidden="false" customHeight="false" outlineLevel="0" collapsed="false">
      <c r="A107" s="26" t="s">
        <v>295</v>
      </c>
      <c r="B107" s="26" t="s">
        <v>156</v>
      </c>
      <c r="C107" s="27" t="s">
        <v>163</v>
      </c>
      <c r="D107" s="5" t="s">
        <v>197</v>
      </c>
      <c r="E107" s="5" t="s">
        <v>159</v>
      </c>
      <c r="F107" s="5" t="s">
        <v>94</v>
      </c>
      <c r="G107" s="5" t="s">
        <v>93</v>
      </c>
      <c r="H107" s="26" t="s">
        <v>99</v>
      </c>
      <c r="I107" s="27" t="s">
        <v>168</v>
      </c>
      <c r="J107" s="5" t="s">
        <v>169</v>
      </c>
    </row>
    <row r="108" customFormat="false" ht="15" hidden="false" customHeight="false" outlineLevel="0" collapsed="false">
      <c r="A108" s="26" t="s">
        <v>296</v>
      </c>
      <c r="B108" s="26" t="s">
        <v>162</v>
      </c>
      <c r="C108" s="27" t="s">
        <v>157</v>
      </c>
      <c r="D108" s="5" t="s">
        <v>184</v>
      </c>
      <c r="E108" s="5" t="s">
        <v>178</v>
      </c>
      <c r="F108" s="5" t="s">
        <v>94</v>
      </c>
      <c r="G108" s="5" t="s">
        <v>93</v>
      </c>
      <c r="H108" s="26" t="s">
        <v>102</v>
      </c>
      <c r="I108" s="27" t="s">
        <v>160</v>
      </c>
      <c r="J108" s="5"/>
    </row>
    <row r="109" customFormat="false" ht="15" hidden="false" customHeight="false" outlineLevel="0" collapsed="false">
      <c r="A109" s="26" t="s">
        <v>297</v>
      </c>
      <c r="B109" s="26" t="s">
        <v>162</v>
      </c>
      <c r="C109" s="27" t="s">
        <v>157</v>
      </c>
      <c r="D109" s="5" t="s">
        <v>172</v>
      </c>
      <c r="E109" s="5" t="s">
        <v>159</v>
      </c>
      <c r="F109" s="5" t="s">
        <v>95</v>
      </c>
      <c r="G109" s="5" t="s">
        <v>93</v>
      </c>
      <c r="H109" s="26" t="s">
        <v>96</v>
      </c>
      <c r="I109" s="27" t="s">
        <v>160</v>
      </c>
      <c r="J109" s="5"/>
    </row>
    <row r="110" customFormat="false" ht="15" hidden="false" customHeight="false" outlineLevel="0" collapsed="false">
      <c r="A110" s="26" t="s">
        <v>298</v>
      </c>
      <c r="B110" s="26" t="s">
        <v>188</v>
      </c>
      <c r="C110" s="27" t="s">
        <v>157</v>
      </c>
      <c r="D110" s="5" t="s">
        <v>182</v>
      </c>
      <c r="E110" s="5" t="s">
        <v>224</v>
      </c>
      <c r="F110" s="5" t="s">
        <v>88</v>
      </c>
      <c r="G110" s="5" t="s">
        <v>87</v>
      </c>
      <c r="H110" s="26" t="s">
        <v>96</v>
      </c>
      <c r="I110" s="27" t="s">
        <v>160</v>
      </c>
      <c r="J110" s="5"/>
    </row>
    <row r="111" customFormat="false" ht="15" hidden="false" customHeight="false" outlineLevel="0" collapsed="false">
      <c r="A111" s="26" t="s">
        <v>299</v>
      </c>
      <c r="B111" s="26" t="s">
        <v>188</v>
      </c>
      <c r="C111" s="27" t="s">
        <v>157</v>
      </c>
      <c r="D111" s="5" t="s">
        <v>184</v>
      </c>
      <c r="E111" s="5" t="s">
        <v>224</v>
      </c>
      <c r="F111" s="5" t="s">
        <v>89</v>
      </c>
      <c r="G111" s="5" t="s">
        <v>87</v>
      </c>
      <c r="H111" s="26" t="s">
        <v>96</v>
      </c>
      <c r="I111" s="27" t="s">
        <v>160</v>
      </c>
      <c r="J111" s="5"/>
    </row>
    <row r="112" customFormat="false" ht="15" hidden="false" customHeight="false" outlineLevel="0" collapsed="false">
      <c r="A112" s="26" t="s">
        <v>300</v>
      </c>
      <c r="B112" s="26" t="s">
        <v>171</v>
      </c>
      <c r="C112" s="27" t="s">
        <v>163</v>
      </c>
      <c r="D112" s="5" t="s">
        <v>172</v>
      </c>
      <c r="E112" s="5" t="s">
        <v>173</v>
      </c>
      <c r="F112" s="5" t="s">
        <v>91</v>
      </c>
      <c r="G112" s="5" t="s">
        <v>90</v>
      </c>
      <c r="H112" s="26" t="s">
        <v>107</v>
      </c>
      <c r="I112" s="27" t="s">
        <v>168</v>
      </c>
      <c r="J112" s="5" t="s">
        <v>213</v>
      </c>
    </row>
    <row r="113" customFormat="false" ht="15" hidden="false" customHeight="false" outlineLevel="0" collapsed="false">
      <c r="A113" s="26" t="s">
        <v>301</v>
      </c>
      <c r="B113" s="26" t="s">
        <v>188</v>
      </c>
      <c r="C113" s="27" t="s">
        <v>157</v>
      </c>
      <c r="D113" s="5" t="s">
        <v>192</v>
      </c>
      <c r="E113" s="5" t="s">
        <v>173</v>
      </c>
      <c r="F113" s="5" t="s">
        <v>92</v>
      </c>
      <c r="G113" s="5" t="s">
        <v>90</v>
      </c>
      <c r="H113" s="26" t="s">
        <v>96</v>
      </c>
      <c r="I113" s="27" t="s">
        <v>160</v>
      </c>
      <c r="J113" s="5"/>
    </row>
    <row r="114" customFormat="false" ht="15" hidden="false" customHeight="false" outlineLevel="0" collapsed="false">
      <c r="A114" s="26" t="s">
        <v>302</v>
      </c>
      <c r="B114" s="26" t="s">
        <v>171</v>
      </c>
      <c r="C114" s="27" t="s">
        <v>163</v>
      </c>
      <c r="D114" s="5" t="s">
        <v>180</v>
      </c>
      <c r="E114" s="5" t="s">
        <v>173</v>
      </c>
      <c r="F114" s="5" t="s">
        <v>92</v>
      </c>
      <c r="G114" s="5" t="s">
        <v>90</v>
      </c>
      <c r="H114" s="26" t="s">
        <v>103</v>
      </c>
      <c r="I114" s="27" t="s">
        <v>160</v>
      </c>
      <c r="J114" s="5"/>
    </row>
    <row r="115" customFormat="false" ht="15" hidden="false" customHeight="false" outlineLevel="0" collapsed="false">
      <c r="A115" s="26" t="s">
        <v>303</v>
      </c>
      <c r="B115" s="26" t="s">
        <v>171</v>
      </c>
      <c r="C115" s="27" t="s">
        <v>157</v>
      </c>
      <c r="D115" s="5" t="s">
        <v>195</v>
      </c>
      <c r="E115" s="5" t="s">
        <v>173</v>
      </c>
      <c r="F115" s="5" t="s">
        <v>89</v>
      </c>
      <c r="G115" s="5" t="s">
        <v>87</v>
      </c>
      <c r="H115" s="26" t="s">
        <v>96</v>
      </c>
      <c r="I115" s="27" t="s">
        <v>160</v>
      </c>
      <c r="J115" s="5"/>
    </row>
    <row r="116" customFormat="false" ht="15" hidden="false" customHeight="false" outlineLevel="0" collapsed="false">
      <c r="A116" s="26" t="s">
        <v>304</v>
      </c>
      <c r="B116" s="26" t="s">
        <v>262</v>
      </c>
      <c r="C116" s="27" t="s">
        <v>157</v>
      </c>
      <c r="D116" s="5" t="s">
        <v>230</v>
      </c>
      <c r="E116" s="5" t="s">
        <v>173</v>
      </c>
      <c r="F116" s="5" t="s">
        <v>91</v>
      </c>
      <c r="G116" s="5" t="s">
        <v>90</v>
      </c>
      <c r="H116" s="26" t="s">
        <v>100</v>
      </c>
      <c r="I116" s="27" t="s">
        <v>160</v>
      </c>
      <c r="J116" s="5"/>
    </row>
    <row r="117" customFormat="false" ht="15" hidden="false" customHeight="false" outlineLevel="0" collapsed="false">
      <c r="A117" s="26" t="s">
        <v>305</v>
      </c>
      <c r="B117" s="26" t="s">
        <v>188</v>
      </c>
      <c r="C117" s="27" t="s">
        <v>163</v>
      </c>
      <c r="D117" s="5" t="s">
        <v>192</v>
      </c>
      <c r="E117" s="5" t="s">
        <v>224</v>
      </c>
      <c r="F117" s="5" t="s">
        <v>92</v>
      </c>
      <c r="G117" s="5" t="s">
        <v>90</v>
      </c>
      <c r="H117" s="26" t="s">
        <v>96</v>
      </c>
      <c r="I117" s="27" t="s">
        <v>160</v>
      </c>
      <c r="J117" s="5"/>
    </row>
    <row r="118" customFormat="false" ht="15" hidden="false" customHeight="false" outlineLevel="0" collapsed="false">
      <c r="A118" s="26" t="s">
        <v>306</v>
      </c>
      <c r="B118" s="26" t="s">
        <v>156</v>
      </c>
      <c r="C118" s="27" t="s">
        <v>157</v>
      </c>
      <c r="D118" s="5" t="s">
        <v>243</v>
      </c>
      <c r="E118" s="5" t="s">
        <v>159</v>
      </c>
      <c r="F118" s="5" t="s">
        <v>94</v>
      </c>
      <c r="G118" s="5" t="s">
        <v>93</v>
      </c>
      <c r="H118" s="26" t="s">
        <v>100</v>
      </c>
      <c r="I118" s="27" t="s">
        <v>160</v>
      </c>
      <c r="J118" s="5"/>
    </row>
    <row r="119" customFormat="false" ht="15" hidden="false" customHeight="false" outlineLevel="0" collapsed="false">
      <c r="A119" s="26" t="s">
        <v>307</v>
      </c>
      <c r="B119" s="26" t="s">
        <v>188</v>
      </c>
      <c r="C119" s="27" t="s">
        <v>157</v>
      </c>
      <c r="D119" s="5" t="s">
        <v>195</v>
      </c>
      <c r="E119" s="5" t="s">
        <v>224</v>
      </c>
      <c r="F119" s="5" t="s">
        <v>89</v>
      </c>
      <c r="G119" s="5" t="s">
        <v>87</v>
      </c>
      <c r="H119" s="26" t="s">
        <v>107</v>
      </c>
      <c r="I119" s="27" t="s">
        <v>160</v>
      </c>
      <c r="J119" s="5"/>
    </row>
    <row r="120" customFormat="false" ht="15" hidden="false" customHeight="false" outlineLevel="0" collapsed="false">
      <c r="A120" s="26" t="s">
        <v>308</v>
      </c>
      <c r="B120" s="26" t="s">
        <v>156</v>
      </c>
      <c r="C120" s="27" t="s">
        <v>157</v>
      </c>
      <c r="D120" s="5" t="s">
        <v>189</v>
      </c>
      <c r="E120" s="5" t="s">
        <v>167</v>
      </c>
      <c r="F120" s="5" t="s">
        <v>94</v>
      </c>
      <c r="G120" s="5" t="s">
        <v>93</v>
      </c>
      <c r="H120" s="26" t="s">
        <v>100</v>
      </c>
      <c r="I120" s="27" t="s">
        <v>160</v>
      </c>
      <c r="J120" s="5"/>
    </row>
    <row r="121" customFormat="false" ht="15" hidden="false" customHeight="false" outlineLevel="0" collapsed="false">
      <c r="A121" s="26" t="s">
        <v>309</v>
      </c>
      <c r="B121" s="26" t="s">
        <v>188</v>
      </c>
      <c r="C121" s="27" t="s">
        <v>163</v>
      </c>
      <c r="D121" s="5" t="s">
        <v>192</v>
      </c>
      <c r="E121" s="5" t="s">
        <v>224</v>
      </c>
      <c r="F121" s="5" t="s">
        <v>89</v>
      </c>
      <c r="G121" s="5" t="s">
        <v>87</v>
      </c>
      <c r="H121" s="26" t="s">
        <v>107</v>
      </c>
      <c r="I121" s="27" t="s">
        <v>160</v>
      </c>
      <c r="J121" s="5"/>
    </row>
    <row r="122" customFormat="false" ht="15" hidden="false" customHeight="false" outlineLevel="0" collapsed="false">
      <c r="A122" s="26" t="s">
        <v>310</v>
      </c>
      <c r="B122" s="26" t="s">
        <v>262</v>
      </c>
      <c r="C122" s="27" t="s">
        <v>163</v>
      </c>
      <c r="D122" s="5" t="s">
        <v>182</v>
      </c>
      <c r="E122" s="5" t="s">
        <v>173</v>
      </c>
      <c r="F122" s="5" t="s">
        <v>91</v>
      </c>
      <c r="G122" s="5" t="s">
        <v>90</v>
      </c>
      <c r="H122" s="26" t="s">
        <v>99</v>
      </c>
      <c r="I122" s="27" t="s">
        <v>168</v>
      </c>
      <c r="J122" s="5" t="s">
        <v>202</v>
      </c>
    </row>
    <row r="123" customFormat="false" ht="15" hidden="false" customHeight="false" outlineLevel="0" collapsed="false">
      <c r="A123" s="26" t="s">
        <v>311</v>
      </c>
      <c r="B123" s="26" t="s">
        <v>188</v>
      </c>
      <c r="C123" s="27" t="s">
        <v>163</v>
      </c>
      <c r="D123" s="5" t="s">
        <v>164</v>
      </c>
      <c r="E123" s="5" t="s">
        <v>224</v>
      </c>
      <c r="F123" s="5" t="s">
        <v>91</v>
      </c>
      <c r="G123" s="5" t="s">
        <v>90</v>
      </c>
      <c r="H123" s="26" t="s">
        <v>103</v>
      </c>
      <c r="I123" s="27" t="s">
        <v>168</v>
      </c>
      <c r="J123" s="5" t="s">
        <v>213</v>
      </c>
    </row>
    <row r="124" customFormat="false" ht="15" hidden="false" customHeight="false" outlineLevel="0" collapsed="false">
      <c r="A124" s="26" t="s">
        <v>312</v>
      </c>
      <c r="B124" s="26" t="s">
        <v>156</v>
      </c>
      <c r="C124" s="27" t="s">
        <v>163</v>
      </c>
      <c r="D124" s="5" t="s">
        <v>180</v>
      </c>
      <c r="E124" s="5" t="s">
        <v>167</v>
      </c>
      <c r="F124" s="5" t="s">
        <v>94</v>
      </c>
      <c r="G124" s="5" t="s">
        <v>93</v>
      </c>
      <c r="H124" s="26" t="s">
        <v>103</v>
      </c>
      <c r="I124" s="27" t="s">
        <v>160</v>
      </c>
      <c r="J124" s="5"/>
    </row>
    <row r="125" customFormat="false" ht="15" hidden="false" customHeight="false" outlineLevel="0" collapsed="false">
      <c r="A125" s="26" t="s">
        <v>313</v>
      </c>
      <c r="B125" s="26" t="s">
        <v>156</v>
      </c>
      <c r="C125" s="27" t="s">
        <v>157</v>
      </c>
      <c r="D125" s="5" t="s">
        <v>192</v>
      </c>
      <c r="E125" s="5" t="s">
        <v>167</v>
      </c>
      <c r="F125" s="5" t="s">
        <v>95</v>
      </c>
      <c r="G125" s="5" t="s">
        <v>93</v>
      </c>
      <c r="H125" s="26" t="s">
        <v>102</v>
      </c>
      <c r="I125" s="27" t="s">
        <v>160</v>
      </c>
      <c r="J125" s="5"/>
    </row>
    <row r="126" customFormat="false" ht="15" hidden="false" customHeight="false" outlineLevel="0" collapsed="false">
      <c r="A126" s="26" t="s">
        <v>314</v>
      </c>
      <c r="B126" s="26" t="s">
        <v>188</v>
      </c>
      <c r="C126" s="27" t="s">
        <v>163</v>
      </c>
      <c r="D126" s="5" t="s">
        <v>192</v>
      </c>
      <c r="E126" s="5" t="s">
        <v>224</v>
      </c>
      <c r="F126" s="5" t="s">
        <v>92</v>
      </c>
      <c r="G126" s="5" t="s">
        <v>90</v>
      </c>
      <c r="H126" s="26" t="s">
        <v>105</v>
      </c>
      <c r="I126" s="27" t="s">
        <v>160</v>
      </c>
      <c r="J126" s="5"/>
    </row>
    <row r="127" customFormat="false" ht="15" hidden="false" customHeight="false" outlineLevel="0" collapsed="false">
      <c r="A127" s="26" t="s">
        <v>315</v>
      </c>
      <c r="B127" s="26" t="s">
        <v>188</v>
      </c>
      <c r="C127" s="27" t="s">
        <v>157</v>
      </c>
      <c r="D127" s="5" t="s">
        <v>230</v>
      </c>
      <c r="E127" s="5" t="s">
        <v>185</v>
      </c>
      <c r="F127" s="5" t="s">
        <v>88</v>
      </c>
      <c r="G127" s="5" t="s">
        <v>87</v>
      </c>
      <c r="H127" s="26" t="s">
        <v>96</v>
      </c>
      <c r="I127" s="27" t="s">
        <v>160</v>
      </c>
      <c r="J127" s="5"/>
    </row>
    <row r="128" customFormat="false" ht="15" hidden="false" customHeight="false" outlineLevel="0" collapsed="false">
      <c r="A128" s="26" t="s">
        <v>316</v>
      </c>
      <c r="B128" s="26" t="s">
        <v>171</v>
      </c>
      <c r="C128" s="27" t="s">
        <v>157</v>
      </c>
      <c r="D128" s="5" t="s">
        <v>195</v>
      </c>
      <c r="E128" s="5" t="s">
        <v>173</v>
      </c>
      <c r="F128" s="5" t="s">
        <v>91</v>
      </c>
      <c r="G128" s="5" t="s">
        <v>90</v>
      </c>
      <c r="H128" s="26" t="s">
        <v>99</v>
      </c>
      <c r="I128" s="27" t="s">
        <v>168</v>
      </c>
      <c r="J128" s="5" t="s">
        <v>169</v>
      </c>
    </row>
    <row r="129" customFormat="false" ht="15" hidden="false" customHeight="false" outlineLevel="0" collapsed="false">
      <c r="A129" s="26" t="s">
        <v>317</v>
      </c>
      <c r="B129" s="26" t="s">
        <v>171</v>
      </c>
      <c r="C129" s="27" t="s">
        <v>157</v>
      </c>
      <c r="D129" s="5" t="s">
        <v>208</v>
      </c>
      <c r="E129" s="5" t="s">
        <v>173</v>
      </c>
      <c r="F129" s="5" t="s">
        <v>88</v>
      </c>
      <c r="G129" s="5" t="s">
        <v>87</v>
      </c>
      <c r="H129" s="26" t="s">
        <v>96</v>
      </c>
      <c r="I129" s="27" t="s">
        <v>160</v>
      </c>
      <c r="J129" s="5"/>
    </row>
    <row r="130" customFormat="false" ht="15" hidden="false" customHeight="false" outlineLevel="0" collapsed="false">
      <c r="A130" s="26" t="s">
        <v>318</v>
      </c>
      <c r="B130" s="26" t="s">
        <v>162</v>
      </c>
      <c r="C130" s="27" t="s">
        <v>157</v>
      </c>
      <c r="D130" s="5" t="s">
        <v>195</v>
      </c>
      <c r="E130" s="5" t="s">
        <v>159</v>
      </c>
      <c r="F130" s="5" t="s">
        <v>95</v>
      </c>
      <c r="G130" s="5" t="s">
        <v>93</v>
      </c>
      <c r="H130" s="26" t="s">
        <v>96</v>
      </c>
      <c r="I130" s="27" t="s">
        <v>160</v>
      </c>
      <c r="J130" s="5"/>
    </row>
    <row r="131" customFormat="false" ht="15" hidden="false" customHeight="false" outlineLevel="0" collapsed="false">
      <c r="A131" s="26" t="s">
        <v>319</v>
      </c>
      <c r="B131" s="26" t="s">
        <v>188</v>
      </c>
      <c r="C131" s="27" t="s">
        <v>157</v>
      </c>
      <c r="D131" s="5" t="s">
        <v>189</v>
      </c>
      <c r="E131" s="5" t="s">
        <v>173</v>
      </c>
      <c r="F131" s="5" t="s">
        <v>88</v>
      </c>
      <c r="G131" s="5" t="s">
        <v>87</v>
      </c>
      <c r="H131" s="26" t="s">
        <v>86</v>
      </c>
      <c r="I131" s="27" t="s">
        <v>160</v>
      </c>
      <c r="J131" s="5"/>
    </row>
    <row r="132" customFormat="false" ht="15" hidden="false" customHeight="false" outlineLevel="0" collapsed="false">
      <c r="A132" s="26" t="s">
        <v>320</v>
      </c>
      <c r="B132" s="26" t="s">
        <v>171</v>
      </c>
      <c r="C132" s="27" t="s">
        <v>157</v>
      </c>
      <c r="D132" s="5" t="s">
        <v>192</v>
      </c>
      <c r="E132" s="5" t="s">
        <v>185</v>
      </c>
      <c r="F132" s="5" t="s">
        <v>89</v>
      </c>
      <c r="G132" s="5" t="s">
        <v>87</v>
      </c>
      <c r="H132" s="26" t="s">
        <v>102</v>
      </c>
      <c r="I132" s="27" t="s">
        <v>160</v>
      </c>
      <c r="J132" s="5"/>
    </row>
    <row r="133" customFormat="false" ht="15" hidden="false" customHeight="false" outlineLevel="0" collapsed="false">
      <c r="A133" s="26" t="s">
        <v>321</v>
      </c>
      <c r="B133" s="26" t="s">
        <v>156</v>
      </c>
      <c r="C133" s="27" t="s">
        <v>157</v>
      </c>
      <c r="D133" s="5" t="s">
        <v>158</v>
      </c>
      <c r="E133" s="5" t="s">
        <v>178</v>
      </c>
      <c r="F133" s="5" t="s">
        <v>94</v>
      </c>
      <c r="G133" s="5" t="s">
        <v>93</v>
      </c>
      <c r="H133" s="26" t="s">
        <v>100</v>
      </c>
      <c r="I133" s="27" t="s">
        <v>168</v>
      </c>
      <c r="J133" s="5" t="s">
        <v>213</v>
      </c>
    </row>
    <row r="134" customFormat="false" ht="15" hidden="false" customHeight="false" outlineLevel="0" collapsed="false">
      <c r="A134" s="26" t="s">
        <v>322</v>
      </c>
      <c r="B134" s="26" t="s">
        <v>162</v>
      </c>
      <c r="C134" s="27" t="s">
        <v>163</v>
      </c>
      <c r="D134" s="5" t="s">
        <v>182</v>
      </c>
      <c r="E134" s="5" t="s">
        <v>167</v>
      </c>
      <c r="F134" s="5" t="s">
        <v>94</v>
      </c>
      <c r="G134" s="5" t="s">
        <v>93</v>
      </c>
      <c r="H134" s="26" t="s">
        <v>103</v>
      </c>
      <c r="I134" s="27" t="s">
        <v>160</v>
      </c>
      <c r="J134" s="5"/>
    </row>
    <row r="135" customFormat="false" ht="15" hidden="false" customHeight="false" outlineLevel="0" collapsed="false">
      <c r="A135" s="26" t="s">
        <v>323</v>
      </c>
      <c r="B135" s="26" t="s">
        <v>171</v>
      </c>
      <c r="C135" s="27" t="s">
        <v>157</v>
      </c>
      <c r="D135" s="5" t="s">
        <v>230</v>
      </c>
      <c r="E135" s="5" t="s">
        <v>224</v>
      </c>
      <c r="F135" s="5" t="s">
        <v>92</v>
      </c>
      <c r="G135" s="5" t="s">
        <v>90</v>
      </c>
      <c r="H135" s="26" t="s">
        <v>96</v>
      </c>
      <c r="I135" s="27" t="s">
        <v>160</v>
      </c>
      <c r="J135" s="5"/>
    </row>
    <row r="136" customFormat="false" ht="15" hidden="false" customHeight="false" outlineLevel="0" collapsed="false">
      <c r="A136" s="26" t="s">
        <v>324</v>
      </c>
      <c r="B136" s="26" t="s">
        <v>171</v>
      </c>
      <c r="C136" s="27" t="s">
        <v>157</v>
      </c>
      <c r="D136" s="5" t="s">
        <v>164</v>
      </c>
      <c r="E136" s="5" t="s">
        <v>173</v>
      </c>
      <c r="F136" s="5" t="s">
        <v>89</v>
      </c>
      <c r="G136" s="5" t="s">
        <v>87</v>
      </c>
      <c r="H136" s="26" t="s">
        <v>99</v>
      </c>
      <c r="I136" s="27" t="s">
        <v>160</v>
      </c>
      <c r="J136" s="5"/>
    </row>
    <row r="137" customFormat="false" ht="15" hidden="false" customHeight="false" outlineLevel="0" collapsed="false">
      <c r="A137" s="26" t="s">
        <v>325</v>
      </c>
      <c r="B137" s="26" t="s">
        <v>175</v>
      </c>
      <c r="C137" s="27" t="s">
        <v>163</v>
      </c>
      <c r="D137" s="5" t="s">
        <v>184</v>
      </c>
      <c r="E137" s="5" t="s">
        <v>185</v>
      </c>
      <c r="F137" s="5" t="s">
        <v>91</v>
      </c>
      <c r="G137" s="5" t="s">
        <v>90</v>
      </c>
      <c r="H137" s="26" t="s">
        <v>103</v>
      </c>
      <c r="I137" s="27" t="s">
        <v>160</v>
      </c>
      <c r="J137" s="5"/>
    </row>
    <row r="138" customFormat="false" ht="15" hidden="false" customHeight="false" outlineLevel="0" collapsed="false">
      <c r="A138" s="26" t="s">
        <v>326</v>
      </c>
      <c r="B138" s="26" t="s">
        <v>171</v>
      </c>
      <c r="C138" s="27" t="s">
        <v>163</v>
      </c>
      <c r="D138" s="5" t="s">
        <v>192</v>
      </c>
      <c r="E138" s="5" t="s">
        <v>185</v>
      </c>
      <c r="F138" s="5" t="s">
        <v>88</v>
      </c>
      <c r="G138" s="5" t="s">
        <v>87</v>
      </c>
      <c r="H138" s="26" t="s">
        <v>96</v>
      </c>
      <c r="I138" s="27" t="s">
        <v>168</v>
      </c>
      <c r="J138" s="5" t="s">
        <v>169</v>
      </c>
    </row>
    <row r="139" customFormat="false" ht="15" hidden="false" customHeight="false" outlineLevel="0" collapsed="false">
      <c r="A139" s="26" t="s">
        <v>327</v>
      </c>
      <c r="B139" s="26" t="s">
        <v>171</v>
      </c>
      <c r="C139" s="27" t="s">
        <v>157</v>
      </c>
      <c r="D139" s="5" t="s">
        <v>182</v>
      </c>
      <c r="E139" s="5" t="s">
        <v>173</v>
      </c>
      <c r="F139" s="5" t="s">
        <v>89</v>
      </c>
      <c r="G139" s="5" t="s">
        <v>87</v>
      </c>
      <c r="H139" s="26" t="s">
        <v>107</v>
      </c>
      <c r="I139" s="27" t="s">
        <v>160</v>
      </c>
      <c r="J139" s="5"/>
    </row>
    <row r="140" customFormat="false" ht="15" hidden="false" customHeight="false" outlineLevel="0" collapsed="false">
      <c r="A140" s="26" t="s">
        <v>328</v>
      </c>
      <c r="B140" s="26" t="s">
        <v>188</v>
      </c>
      <c r="C140" s="27" t="s">
        <v>163</v>
      </c>
      <c r="D140" s="5" t="s">
        <v>184</v>
      </c>
      <c r="E140" s="5" t="s">
        <v>173</v>
      </c>
      <c r="F140" s="5" t="s">
        <v>88</v>
      </c>
      <c r="G140" s="5" t="s">
        <v>87</v>
      </c>
      <c r="H140" s="26" t="s">
        <v>99</v>
      </c>
      <c r="I140" s="27" t="s">
        <v>160</v>
      </c>
      <c r="J140" s="5"/>
    </row>
    <row r="141" customFormat="false" ht="15" hidden="false" customHeight="false" outlineLevel="0" collapsed="false">
      <c r="A141" s="26" t="s">
        <v>329</v>
      </c>
      <c r="B141" s="26" t="s">
        <v>156</v>
      </c>
      <c r="C141" s="27" t="s">
        <v>157</v>
      </c>
      <c r="D141" s="5" t="s">
        <v>166</v>
      </c>
      <c r="E141" s="5" t="s">
        <v>167</v>
      </c>
      <c r="F141" s="5" t="s">
        <v>94</v>
      </c>
      <c r="G141" s="5" t="s">
        <v>93</v>
      </c>
      <c r="H141" s="26" t="s">
        <v>105</v>
      </c>
      <c r="I141" s="27" t="s">
        <v>160</v>
      </c>
      <c r="J141" s="5"/>
    </row>
    <row r="142" customFormat="false" ht="15" hidden="false" customHeight="false" outlineLevel="0" collapsed="false">
      <c r="A142" s="26" t="s">
        <v>330</v>
      </c>
      <c r="B142" s="26" t="s">
        <v>171</v>
      </c>
      <c r="C142" s="27" t="s">
        <v>157</v>
      </c>
      <c r="D142" s="5" t="s">
        <v>182</v>
      </c>
      <c r="E142" s="5" t="s">
        <v>224</v>
      </c>
      <c r="F142" s="5" t="s">
        <v>91</v>
      </c>
      <c r="G142" s="5" t="s">
        <v>90</v>
      </c>
      <c r="H142" s="26" t="s">
        <v>98</v>
      </c>
      <c r="I142" s="27" t="s">
        <v>168</v>
      </c>
      <c r="J142" s="5" t="s">
        <v>202</v>
      </c>
    </row>
    <row r="143" customFormat="false" ht="15" hidden="false" customHeight="false" outlineLevel="0" collapsed="false">
      <c r="A143" s="26" t="s">
        <v>331</v>
      </c>
      <c r="B143" s="26" t="s">
        <v>188</v>
      </c>
      <c r="C143" s="27" t="s">
        <v>157</v>
      </c>
      <c r="D143" s="5" t="s">
        <v>192</v>
      </c>
      <c r="E143" s="5" t="s">
        <v>224</v>
      </c>
      <c r="F143" s="5" t="s">
        <v>91</v>
      </c>
      <c r="G143" s="5" t="s">
        <v>90</v>
      </c>
      <c r="H143" s="26" t="s">
        <v>99</v>
      </c>
      <c r="I143" s="27" t="s">
        <v>160</v>
      </c>
      <c r="J143" s="5"/>
    </row>
    <row r="144" customFormat="false" ht="15" hidden="false" customHeight="false" outlineLevel="0" collapsed="false">
      <c r="A144" s="26" t="s">
        <v>332</v>
      </c>
      <c r="B144" s="26" t="s">
        <v>156</v>
      </c>
      <c r="C144" s="27" t="s">
        <v>163</v>
      </c>
      <c r="D144" s="5" t="s">
        <v>172</v>
      </c>
      <c r="E144" s="5" t="s">
        <v>159</v>
      </c>
      <c r="F144" s="5" t="s">
        <v>95</v>
      </c>
      <c r="G144" s="5" t="s">
        <v>93</v>
      </c>
      <c r="H144" s="26" t="s">
        <v>98</v>
      </c>
      <c r="I144" s="27" t="s">
        <v>160</v>
      </c>
      <c r="J144" s="5"/>
    </row>
    <row r="145" customFormat="false" ht="15" hidden="false" customHeight="false" outlineLevel="0" collapsed="false">
      <c r="A145" s="26" t="s">
        <v>333</v>
      </c>
      <c r="B145" s="26" t="s">
        <v>171</v>
      </c>
      <c r="C145" s="27" t="s">
        <v>157</v>
      </c>
      <c r="D145" s="5" t="s">
        <v>182</v>
      </c>
      <c r="E145" s="5" t="s">
        <v>185</v>
      </c>
      <c r="F145" s="5" t="s">
        <v>91</v>
      </c>
      <c r="G145" s="5" t="s">
        <v>90</v>
      </c>
      <c r="H145" s="26" t="s">
        <v>100</v>
      </c>
      <c r="I145" s="27" t="s">
        <v>168</v>
      </c>
      <c r="J145" s="5" t="s">
        <v>186</v>
      </c>
    </row>
    <row r="146" customFormat="false" ht="15" hidden="false" customHeight="false" outlineLevel="0" collapsed="false">
      <c r="A146" s="26" t="s">
        <v>334</v>
      </c>
      <c r="B146" s="26" t="s">
        <v>156</v>
      </c>
      <c r="C146" s="27" t="s">
        <v>157</v>
      </c>
      <c r="D146" s="5" t="s">
        <v>158</v>
      </c>
      <c r="E146" s="5" t="s">
        <v>178</v>
      </c>
      <c r="F146" s="5" t="s">
        <v>95</v>
      </c>
      <c r="G146" s="5" t="s">
        <v>93</v>
      </c>
      <c r="H146" s="26" t="s">
        <v>86</v>
      </c>
      <c r="I146" s="27" t="s">
        <v>160</v>
      </c>
      <c r="J146" s="5"/>
    </row>
    <row r="147" customFormat="false" ht="15" hidden="false" customHeight="false" outlineLevel="0" collapsed="false">
      <c r="A147" s="26" t="s">
        <v>335</v>
      </c>
      <c r="B147" s="26" t="s">
        <v>171</v>
      </c>
      <c r="C147" s="27" t="s">
        <v>157</v>
      </c>
      <c r="D147" s="5" t="s">
        <v>184</v>
      </c>
      <c r="E147" s="5" t="s">
        <v>173</v>
      </c>
      <c r="F147" s="5" t="s">
        <v>88</v>
      </c>
      <c r="G147" s="5" t="s">
        <v>87</v>
      </c>
      <c r="H147" s="26" t="s">
        <v>107</v>
      </c>
      <c r="I147" s="27" t="s">
        <v>168</v>
      </c>
      <c r="J147" s="5" t="s">
        <v>186</v>
      </c>
    </row>
    <row r="148" customFormat="false" ht="15" hidden="false" customHeight="false" outlineLevel="0" collapsed="false">
      <c r="A148" s="26" t="s">
        <v>336</v>
      </c>
      <c r="B148" s="26" t="s">
        <v>171</v>
      </c>
      <c r="C148" s="27" t="s">
        <v>157</v>
      </c>
      <c r="D148" s="5" t="s">
        <v>208</v>
      </c>
      <c r="E148" s="5" t="s">
        <v>224</v>
      </c>
      <c r="F148" s="5" t="s">
        <v>91</v>
      </c>
      <c r="G148" s="5" t="s">
        <v>90</v>
      </c>
      <c r="H148" s="26" t="s">
        <v>107</v>
      </c>
      <c r="I148" s="27" t="s">
        <v>160</v>
      </c>
      <c r="J148" s="5"/>
    </row>
    <row r="149" customFormat="false" ht="15" hidden="false" customHeight="false" outlineLevel="0" collapsed="false">
      <c r="A149" s="26" t="s">
        <v>337</v>
      </c>
      <c r="B149" s="26" t="s">
        <v>188</v>
      </c>
      <c r="C149" s="27" t="s">
        <v>163</v>
      </c>
      <c r="D149" s="5" t="s">
        <v>192</v>
      </c>
      <c r="E149" s="5" t="s">
        <v>224</v>
      </c>
      <c r="F149" s="5" t="s">
        <v>92</v>
      </c>
      <c r="G149" s="5" t="s">
        <v>90</v>
      </c>
      <c r="H149" s="26" t="s">
        <v>105</v>
      </c>
      <c r="I149" s="27" t="s">
        <v>160</v>
      </c>
      <c r="J149" s="5"/>
    </row>
    <row r="150" customFormat="false" ht="15" hidden="false" customHeight="false" outlineLevel="0" collapsed="false">
      <c r="A150" s="26" t="s">
        <v>338</v>
      </c>
      <c r="B150" s="26" t="s">
        <v>156</v>
      </c>
      <c r="C150" s="27" t="s">
        <v>157</v>
      </c>
      <c r="D150" s="5" t="s">
        <v>164</v>
      </c>
      <c r="E150" s="5" t="s">
        <v>167</v>
      </c>
      <c r="F150" s="5" t="s">
        <v>95</v>
      </c>
      <c r="G150" s="5" t="s">
        <v>93</v>
      </c>
      <c r="H150" s="26" t="s">
        <v>102</v>
      </c>
      <c r="I150" s="27" t="s">
        <v>160</v>
      </c>
      <c r="J150" s="5"/>
    </row>
    <row r="151" customFormat="false" ht="15" hidden="false" customHeight="false" outlineLevel="0" collapsed="false">
      <c r="A151" s="26" t="s">
        <v>339</v>
      </c>
      <c r="B151" s="26" t="s">
        <v>171</v>
      </c>
      <c r="C151" s="27" t="s">
        <v>157</v>
      </c>
      <c r="D151" s="5" t="s">
        <v>230</v>
      </c>
      <c r="E151" s="5" t="s">
        <v>173</v>
      </c>
      <c r="F151" s="5" t="s">
        <v>89</v>
      </c>
      <c r="G151" s="5" t="s">
        <v>87</v>
      </c>
      <c r="H151" s="26" t="s">
        <v>107</v>
      </c>
      <c r="I151" s="27" t="s">
        <v>160</v>
      </c>
      <c r="J151" s="5"/>
    </row>
    <row r="152" customFormat="false" ht="15" hidden="false" customHeight="false" outlineLevel="0" collapsed="false">
      <c r="A152" s="26" t="s">
        <v>340</v>
      </c>
      <c r="B152" s="26" t="s">
        <v>188</v>
      </c>
      <c r="C152" s="27" t="s">
        <v>157</v>
      </c>
      <c r="D152" s="5" t="s">
        <v>197</v>
      </c>
      <c r="E152" s="5" t="s">
        <v>185</v>
      </c>
      <c r="F152" s="5" t="s">
        <v>88</v>
      </c>
      <c r="G152" s="5" t="s">
        <v>87</v>
      </c>
      <c r="H152" s="26" t="s">
        <v>86</v>
      </c>
      <c r="I152" s="27" t="s">
        <v>160</v>
      </c>
      <c r="J152" s="5"/>
    </row>
    <row r="153" customFormat="false" ht="15" hidden="false" customHeight="false" outlineLevel="0" collapsed="false">
      <c r="A153" s="26" t="s">
        <v>341</v>
      </c>
      <c r="B153" s="26" t="s">
        <v>162</v>
      </c>
      <c r="C153" s="27" t="s">
        <v>157</v>
      </c>
      <c r="D153" s="5" t="s">
        <v>197</v>
      </c>
      <c r="E153" s="5" t="s">
        <v>159</v>
      </c>
      <c r="F153" s="5" t="s">
        <v>95</v>
      </c>
      <c r="G153" s="5" t="s">
        <v>93</v>
      </c>
      <c r="H153" s="26" t="s">
        <v>96</v>
      </c>
      <c r="I153" s="27" t="s">
        <v>160</v>
      </c>
      <c r="J153" s="5"/>
    </row>
    <row r="154" customFormat="false" ht="15" hidden="false" customHeight="false" outlineLevel="0" collapsed="false">
      <c r="A154" s="26" t="s">
        <v>342</v>
      </c>
      <c r="B154" s="26" t="s">
        <v>156</v>
      </c>
      <c r="C154" s="27" t="s">
        <v>163</v>
      </c>
      <c r="D154" s="5" t="s">
        <v>192</v>
      </c>
      <c r="E154" s="5" t="s">
        <v>178</v>
      </c>
      <c r="F154" s="5" t="s">
        <v>95</v>
      </c>
      <c r="G154" s="5" t="s">
        <v>93</v>
      </c>
      <c r="H154" s="26" t="s">
        <v>99</v>
      </c>
      <c r="I154" s="27" t="s">
        <v>160</v>
      </c>
      <c r="J154" s="5"/>
    </row>
  </sheetData>
  <autoFilter ref="A4:J1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969"/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8.55" hidden="false" customHeight="false" outlineLevel="0" collapsed="false">
      <c r="A1" s="16" t="s">
        <v>343</v>
      </c>
    </row>
    <row r="2" customFormat="false" ht="15" hidden="false" customHeight="false" outlineLevel="0" collapsed="false">
      <c r="A2" s="2" t="s">
        <v>344</v>
      </c>
      <c r="E2" s="11" t="s">
        <v>73</v>
      </c>
    </row>
    <row r="4" customFormat="false" ht="30" hidden="false" customHeight="true" outlineLevel="0" collapsed="false">
      <c r="A4" s="12" t="s">
        <v>74</v>
      </c>
      <c r="B4" s="12" t="s">
        <v>345</v>
      </c>
      <c r="C4" s="12" t="s">
        <v>346</v>
      </c>
      <c r="D4" s="12" t="s">
        <v>347</v>
      </c>
      <c r="E4" s="12" t="s">
        <v>348</v>
      </c>
      <c r="F4" s="23" t="s">
        <v>349</v>
      </c>
    </row>
    <row r="5" customFormat="false" ht="15" hidden="false" customHeight="false" outlineLevel="0" collapsed="false">
      <c r="A5" s="6" t="s">
        <v>86</v>
      </c>
      <c r="B5" s="5" t="s">
        <v>350</v>
      </c>
      <c r="C5" s="5" t="n">
        <v>12</v>
      </c>
      <c r="D5" s="18" t="n">
        <v>118.4</v>
      </c>
      <c r="E5" s="5" t="n">
        <v>0</v>
      </c>
      <c r="F5" s="18" t="n">
        <f aca="false">IF(C5=0,"",D5/C5)</f>
        <v>9.86666666666667</v>
      </c>
    </row>
    <row r="6" customFormat="false" ht="15" hidden="false" customHeight="false" outlineLevel="0" collapsed="false">
      <c r="A6" s="6" t="s">
        <v>86</v>
      </c>
      <c r="B6" s="5" t="s">
        <v>351</v>
      </c>
      <c r="C6" s="5" t="n">
        <v>6</v>
      </c>
      <c r="D6" s="18" t="n">
        <v>54.2</v>
      </c>
      <c r="E6" s="5" t="n">
        <v>3</v>
      </c>
      <c r="F6" s="18" t="n">
        <f aca="false">IF(C6=0,"",D6/C6)</f>
        <v>9.03333333333333</v>
      </c>
    </row>
    <row r="7" customFormat="false" ht="15" hidden="false" customHeight="false" outlineLevel="0" collapsed="false">
      <c r="A7" s="6" t="s">
        <v>86</v>
      </c>
      <c r="B7" s="5" t="s">
        <v>352</v>
      </c>
      <c r="C7" s="5" t="n">
        <v>5</v>
      </c>
      <c r="D7" s="18" t="n">
        <v>61.8</v>
      </c>
      <c r="E7" s="5" t="n">
        <v>1</v>
      </c>
      <c r="F7" s="18" t="n">
        <f aca="false">IF(C7=0,"",D7/C7)</f>
        <v>12.36</v>
      </c>
    </row>
    <row r="8" customFormat="false" ht="15" hidden="false" customHeight="false" outlineLevel="0" collapsed="false">
      <c r="A8" s="6" t="s">
        <v>86</v>
      </c>
      <c r="B8" s="5" t="s">
        <v>353</v>
      </c>
      <c r="C8" s="5" t="n">
        <v>5</v>
      </c>
      <c r="D8" s="18" t="n">
        <v>53.3</v>
      </c>
      <c r="E8" s="5" t="n">
        <v>2</v>
      </c>
      <c r="F8" s="18" t="n">
        <f aca="false">IF(C8=0,"",D8/C8)</f>
        <v>10.66</v>
      </c>
    </row>
    <row r="9" customFormat="false" ht="15" hidden="false" customHeight="false" outlineLevel="0" collapsed="false">
      <c r="A9" s="6" t="s">
        <v>96</v>
      </c>
      <c r="B9" s="5" t="s">
        <v>350</v>
      </c>
      <c r="C9" s="5" t="n">
        <v>11</v>
      </c>
      <c r="D9" s="18" t="n">
        <v>139.6</v>
      </c>
      <c r="E9" s="5" t="n">
        <v>2</v>
      </c>
      <c r="F9" s="18" t="n">
        <f aca="false">IF(C9=0,"",D9/C9)</f>
        <v>12.6909090909091</v>
      </c>
    </row>
    <row r="10" customFormat="false" ht="15" hidden="false" customHeight="false" outlineLevel="0" collapsed="false">
      <c r="A10" s="6" t="s">
        <v>96</v>
      </c>
      <c r="B10" s="5" t="s">
        <v>351</v>
      </c>
      <c r="C10" s="5" t="n">
        <v>8</v>
      </c>
      <c r="D10" s="18" t="n">
        <v>63.1</v>
      </c>
      <c r="E10" s="5" t="n">
        <v>3</v>
      </c>
      <c r="F10" s="18" t="n">
        <f aca="false">IF(C10=0,"",D10/C10)</f>
        <v>7.8875</v>
      </c>
    </row>
    <row r="11" customFormat="false" ht="15" hidden="false" customHeight="false" outlineLevel="0" collapsed="false">
      <c r="A11" s="6" t="s">
        <v>96</v>
      </c>
      <c r="B11" s="5" t="s">
        <v>352</v>
      </c>
      <c r="C11" s="5" t="n">
        <v>4</v>
      </c>
      <c r="D11" s="18" t="n">
        <v>49.5</v>
      </c>
      <c r="E11" s="5" t="n">
        <v>2</v>
      </c>
      <c r="F11" s="18" t="n">
        <f aca="false">IF(C11=0,"",D11/C11)</f>
        <v>12.375</v>
      </c>
    </row>
    <row r="12" customFormat="false" ht="15" hidden="false" customHeight="false" outlineLevel="0" collapsed="false">
      <c r="A12" s="6" t="s">
        <v>96</v>
      </c>
      <c r="B12" s="5" t="s">
        <v>353</v>
      </c>
      <c r="C12" s="5" t="n">
        <v>6</v>
      </c>
      <c r="D12" s="18" t="n">
        <v>61.4</v>
      </c>
      <c r="E12" s="5" t="n">
        <v>3</v>
      </c>
      <c r="F12" s="18" t="n">
        <f aca="false">IF(C12=0,"",D12/C12)</f>
        <v>10.2333333333333</v>
      </c>
    </row>
    <row r="13" customFormat="false" ht="15" hidden="false" customHeight="false" outlineLevel="0" collapsed="false">
      <c r="A13" s="6" t="s">
        <v>98</v>
      </c>
      <c r="B13" s="5" t="s">
        <v>350</v>
      </c>
      <c r="C13" s="5" t="n">
        <v>11</v>
      </c>
      <c r="D13" s="18" t="n">
        <v>114.6</v>
      </c>
      <c r="E13" s="5" t="n">
        <v>1</v>
      </c>
      <c r="F13" s="18" t="n">
        <f aca="false">IF(C13=0,"",D13/C13)</f>
        <v>10.4181818181818</v>
      </c>
    </row>
    <row r="14" customFormat="false" ht="15" hidden="false" customHeight="false" outlineLevel="0" collapsed="false">
      <c r="A14" s="6" t="s">
        <v>98</v>
      </c>
      <c r="B14" s="5" t="s">
        <v>351</v>
      </c>
      <c r="C14" s="5" t="n">
        <v>10</v>
      </c>
      <c r="D14" s="18" t="n">
        <v>92.8</v>
      </c>
      <c r="E14" s="5" t="n">
        <v>2</v>
      </c>
      <c r="F14" s="18" t="n">
        <f aca="false">IF(C14=0,"",D14/C14)</f>
        <v>9.28</v>
      </c>
    </row>
    <row r="15" customFormat="false" ht="15" hidden="false" customHeight="false" outlineLevel="0" collapsed="false">
      <c r="A15" s="6" t="s">
        <v>98</v>
      </c>
      <c r="B15" s="5" t="s">
        <v>352</v>
      </c>
      <c r="C15" s="5" t="n">
        <v>6</v>
      </c>
      <c r="D15" s="18" t="n">
        <v>90.8</v>
      </c>
      <c r="E15" s="5" t="n">
        <v>2</v>
      </c>
      <c r="F15" s="18" t="n">
        <f aca="false">IF(C15=0,"",D15/C15)</f>
        <v>15.1333333333333</v>
      </c>
    </row>
    <row r="16" customFormat="false" ht="15" hidden="false" customHeight="false" outlineLevel="0" collapsed="false">
      <c r="A16" s="6" t="s">
        <v>98</v>
      </c>
      <c r="B16" s="5" t="s">
        <v>353</v>
      </c>
      <c r="C16" s="5" t="n">
        <v>4</v>
      </c>
      <c r="D16" s="18" t="n">
        <v>38.3</v>
      </c>
      <c r="E16" s="5" t="n">
        <v>1</v>
      </c>
      <c r="F16" s="18" t="n">
        <f aca="false">IF(C16=0,"",D16/C16)</f>
        <v>9.575</v>
      </c>
    </row>
    <row r="17" customFormat="false" ht="15" hidden="false" customHeight="false" outlineLevel="0" collapsed="false">
      <c r="A17" s="6" t="s">
        <v>99</v>
      </c>
      <c r="B17" s="5" t="s">
        <v>350</v>
      </c>
      <c r="C17" s="5" t="n">
        <v>15</v>
      </c>
      <c r="D17" s="18" t="n">
        <v>149</v>
      </c>
      <c r="E17" s="5" t="n">
        <v>2</v>
      </c>
      <c r="F17" s="18" t="n">
        <f aca="false">IF(C17=0,"",D17/C17)</f>
        <v>9.93333333333333</v>
      </c>
    </row>
    <row r="18" customFormat="false" ht="15" hidden="false" customHeight="false" outlineLevel="0" collapsed="false">
      <c r="A18" s="6" t="s">
        <v>99</v>
      </c>
      <c r="B18" s="5" t="s">
        <v>351</v>
      </c>
      <c r="C18" s="5" t="n">
        <v>9</v>
      </c>
      <c r="D18" s="18" t="n">
        <v>72</v>
      </c>
      <c r="E18" s="5" t="n">
        <v>3</v>
      </c>
      <c r="F18" s="18" t="n">
        <f aca="false">IF(C18=0,"",D18/C18)</f>
        <v>8</v>
      </c>
    </row>
    <row r="19" customFormat="false" ht="15" hidden="false" customHeight="false" outlineLevel="0" collapsed="false">
      <c r="A19" s="6" t="s">
        <v>99</v>
      </c>
      <c r="B19" s="5" t="s">
        <v>352</v>
      </c>
      <c r="C19" s="5" t="n">
        <v>4</v>
      </c>
      <c r="D19" s="18" t="n">
        <v>46.6</v>
      </c>
      <c r="E19" s="5" t="n">
        <v>2</v>
      </c>
      <c r="F19" s="18" t="n">
        <f aca="false">IF(C19=0,"",D19/C19)</f>
        <v>11.65</v>
      </c>
    </row>
    <row r="20" customFormat="false" ht="15" hidden="false" customHeight="false" outlineLevel="0" collapsed="false">
      <c r="A20" s="6" t="s">
        <v>99</v>
      </c>
      <c r="B20" s="5" t="s">
        <v>353</v>
      </c>
      <c r="C20" s="5" t="n">
        <v>5</v>
      </c>
      <c r="D20" s="18" t="n">
        <v>51.7</v>
      </c>
      <c r="E20" s="5" t="n">
        <v>2</v>
      </c>
      <c r="F20" s="18" t="n">
        <f aca="false">IF(C20=0,"",D20/C20)</f>
        <v>10.34</v>
      </c>
    </row>
    <row r="21" customFormat="false" ht="15" hidden="false" customHeight="false" outlineLevel="0" collapsed="false">
      <c r="A21" s="6" t="s">
        <v>100</v>
      </c>
      <c r="B21" s="5" t="s">
        <v>350</v>
      </c>
      <c r="C21" s="5" t="n">
        <v>16</v>
      </c>
      <c r="D21" s="18" t="n">
        <v>205.3</v>
      </c>
      <c r="E21" s="5" t="n">
        <v>2</v>
      </c>
      <c r="F21" s="18" t="n">
        <f aca="false">IF(C21=0,"",D21/C21)</f>
        <v>12.83125</v>
      </c>
    </row>
    <row r="22" customFormat="false" ht="15" hidden="false" customHeight="false" outlineLevel="0" collapsed="false">
      <c r="A22" s="6" t="s">
        <v>100</v>
      </c>
      <c r="B22" s="5" t="s">
        <v>351</v>
      </c>
      <c r="C22" s="5" t="n">
        <v>10</v>
      </c>
      <c r="D22" s="18" t="n">
        <v>65</v>
      </c>
      <c r="E22" s="5" t="n">
        <v>3</v>
      </c>
      <c r="F22" s="18" t="n">
        <f aca="false">IF(C22=0,"",D22/C22)</f>
        <v>6.5</v>
      </c>
    </row>
    <row r="23" customFormat="false" ht="15" hidden="false" customHeight="false" outlineLevel="0" collapsed="false">
      <c r="A23" s="6" t="s">
        <v>100</v>
      </c>
      <c r="B23" s="5" t="s">
        <v>352</v>
      </c>
      <c r="C23" s="5" t="n">
        <v>7</v>
      </c>
      <c r="D23" s="18" t="n">
        <v>91.5</v>
      </c>
      <c r="E23" s="5" t="n">
        <v>2</v>
      </c>
      <c r="F23" s="18" t="n">
        <f aca="false">IF(C23=0,"",D23/C23)</f>
        <v>13.0714285714286</v>
      </c>
    </row>
    <row r="24" customFormat="false" ht="15" hidden="false" customHeight="false" outlineLevel="0" collapsed="false">
      <c r="A24" s="6" t="s">
        <v>100</v>
      </c>
      <c r="B24" s="5" t="s">
        <v>353</v>
      </c>
      <c r="C24" s="5" t="n">
        <v>16</v>
      </c>
      <c r="D24" s="18" t="n">
        <v>128.6</v>
      </c>
      <c r="E24" s="5" t="n">
        <v>2</v>
      </c>
      <c r="F24" s="18" t="n">
        <f aca="false">IF(C24=0,"",D24/C24)</f>
        <v>8.0375</v>
      </c>
    </row>
    <row r="25" customFormat="false" ht="15" hidden="false" customHeight="false" outlineLevel="0" collapsed="false">
      <c r="A25" s="6" t="s">
        <v>102</v>
      </c>
      <c r="B25" s="5" t="s">
        <v>350</v>
      </c>
      <c r="C25" s="5" t="n">
        <v>10</v>
      </c>
      <c r="D25" s="18" t="n">
        <v>90.4</v>
      </c>
      <c r="E25" s="5" t="n">
        <v>1</v>
      </c>
      <c r="F25" s="18" t="n">
        <f aca="false">IF(C25=0,"",D25/C25)</f>
        <v>9.04</v>
      </c>
    </row>
    <row r="26" customFormat="false" ht="15" hidden="false" customHeight="false" outlineLevel="0" collapsed="false">
      <c r="A26" s="6" t="s">
        <v>102</v>
      </c>
      <c r="B26" s="5" t="s">
        <v>351</v>
      </c>
      <c r="C26" s="5" t="n">
        <v>7</v>
      </c>
      <c r="D26" s="18" t="n">
        <v>52.3</v>
      </c>
      <c r="E26" s="5" t="n">
        <v>2</v>
      </c>
      <c r="F26" s="18" t="n">
        <f aca="false">IF(C26=0,"",D26/C26)</f>
        <v>7.47142857142857</v>
      </c>
    </row>
    <row r="27" customFormat="false" ht="15" hidden="false" customHeight="false" outlineLevel="0" collapsed="false">
      <c r="A27" s="6" t="s">
        <v>102</v>
      </c>
      <c r="B27" s="5" t="s">
        <v>352</v>
      </c>
      <c r="C27" s="5" t="n">
        <v>7</v>
      </c>
      <c r="D27" s="18" t="n">
        <v>81.1</v>
      </c>
      <c r="E27" s="5" t="n">
        <v>2</v>
      </c>
      <c r="F27" s="18" t="n">
        <f aca="false">IF(C27=0,"",D27/C27)</f>
        <v>11.5857142857143</v>
      </c>
    </row>
    <row r="28" customFormat="false" ht="15" hidden="false" customHeight="false" outlineLevel="0" collapsed="false">
      <c r="A28" s="6" t="s">
        <v>102</v>
      </c>
      <c r="B28" s="5" t="s">
        <v>353</v>
      </c>
      <c r="C28" s="5" t="n">
        <v>3</v>
      </c>
      <c r="D28" s="18" t="n">
        <v>26.3</v>
      </c>
      <c r="E28" s="5" t="n">
        <v>1</v>
      </c>
      <c r="F28" s="18" t="n">
        <f aca="false">IF(C28=0,"",D28/C28)</f>
        <v>8.76666666666667</v>
      </c>
    </row>
    <row r="29" customFormat="false" ht="15" hidden="false" customHeight="false" outlineLevel="0" collapsed="false">
      <c r="A29" s="6" t="s">
        <v>103</v>
      </c>
      <c r="B29" s="5" t="s">
        <v>350</v>
      </c>
      <c r="C29" s="5" t="n">
        <v>14</v>
      </c>
      <c r="D29" s="18" t="n">
        <v>142.6</v>
      </c>
      <c r="E29" s="5" t="n">
        <v>3</v>
      </c>
      <c r="F29" s="18" t="n">
        <f aca="false">IF(C29=0,"",D29/C29)</f>
        <v>10.1857142857143</v>
      </c>
    </row>
    <row r="30" customFormat="false" ht="15" hidden="false" customHeight="false" outlineLevel="0" collapsed="false">
      <c r="A30" s="6" t="s">
        <v>103</v>
      </c>
      <c r="B30" s="5" t="s">
        <v>351</v>
      </c>
      <c r="C30" s="5" t="n">
        <v>7</v>
      </c>
      <c r="D30" s="18" t="n">
        <v>69.6</v>
      </c>
      <c r="E30" s="5" t="n">
        <v>0</v>
      </c>
      <c r="F30" s="18" t="n">
        <f aca="false">IF(C30=0,"",D30/C30)</f>
        <v>9.94285714285714</v>
      </c>
    </row>
    <row r="31" customFormat="false" ht="15" hidden="false" customHeight="false" outlineLevel="0" collapsed="false">
      <c r="A31" s="6" t="s">
        <v>103</v>
      </c>
      <c r="B31" s="5" t="s">
        <v>352</v>
      </c>
      <c r="C31" s="5" t="n">
        <v>6</v>
      </c>
      <c r="D31" s="18" t="n">
        <v>64.6</v>
      </c>
      <c r="E31" s="5" t="n">
        <v>2</v>
      </c>
      <c r="F31" s="18" t="n">
        <f aca="false">IF(C31=0,"",D31/C31)</f>
        <v>10.7666666666667</v>
      </c>
    </row>
    <row r="32" customFormat="false" ht="15" hidden="false" customHeight="false" outlineLevel="0" collapsed="false">
      <c r="A32" s="6" t="s">
        <v>103</v>
      </c>
      <c r="B32" s="5" t="s">
        <v>353</v>
      </c>
      <c r="C32" s="5" t="n">
        <v>4</v>
      </c>
      <c r="D32" s="18" t="n">
        <v>33.2</v>
      </c>
      <c r="E32" s="5" t="n">
        <v>0</v>
      </c>
      <c r="F32" s="18" t="n">
        <f aca="false">IF(C32=0,"",D32/C32)</f>
        <v>8.3</v>
      </c>
    </row>
    <row r="33" customFormat="false" ht="15" hidden="false" customHeight="false" outlineLevel="0" collapsed="false">
      <c r="A33" s="6" t="s">
        <v>105</v>
      </c>
      <c r="B33" s="5" t="s">
        <v>350</v>
      </c>
      <c r="C33" s="5" t="n">
        <v>14</v>
      </c>
      <c r="D33" s="18" t="n">
        <v>152.2</v>
      </c>
      <c r="E33" s="5" t="n">
        <v>0</v>
      </c>
      <c r="F33" s="18" t="n">
        <f aca="false">IF(C33=0,"",D33/C33)</f>
        <v>10.8714285714286</v>
      </c>
    </row>
    <row r="34" customFormat="false" ht="15" hidden="false" customHeight="false" outlineLevel="0" collapsed="false">
      <c r="A34" s="6" t="s">
        <v>105</v>
      </c>
      <c r="B34" s="5" t="s">
        <v>351</v>
      </c>
      <c r="C34" s="5" t="n">
        <v>10</v>
      </c>
      <c r="D34" s="18" t="n">
        <v>62.5</v>
      </c>
      <c r="E34" s="5" t="n">
        <v>0</v>
      </c>
      <c r="F34" s="18" t="n">
        <f aca="false">IF(C34=0,"",D34/C34)</f>
        <v>6.25</v>
      </c>
    </row>
    <row r="35" customFormat="false" ht="15" hidden="false" customHeight="false" outlineLevel="0" collapsed="false">
      <c r="A35" s="6" t="s">
        <v>105</v>
      </c>
      <c r="B35" s="5" t="s">
        <v>352</v>
      </c>
      <c r="C35" s="5" t="n">
        <v>7</v>
      </c>
      <c r="D35" s="18" t="n">
        <v>111.2</v>
      </c>
      <c r="E35" s="5" t="n">
        <v>0</v>
      </c>
      <c r="F35" s="18" t="n">
        <f aca="false">IF(C35=0,"",D35/C35)</f>
        <v>15.8857142857143</v>
      </c>
    </row>
    <row r="36" customFormat="false" ht="15" hidden="false" customHeight="false" outlineLevel="0" collapsed="false">
      <c r="A36" s="6" t="s">
        <v>105</v>
      </c>
      <c r="B36" s="5" t="s">
        <v>353</v>
      </c>
      <c r="C36" s="5" t="n">
        <v>5</v>
      </c>
      <c r="D36" s="18" t="n">
        <v>51.8</v>
      </c>
      <c r="E36" s="5" t="n">
        <v>0</v>
      </c>
      <c r="F36" s="18" t="n">
        <f aca="false">IF(C36=0,"",D36/C36)</f>
        <v>10.36</v>
      </c>
    </row>
    <row r="37" customFormat="false" ht="15" hidden="false" customHeight="false" outlineLevel="0" collapsed="false">
      <c r="A37" s="6" t="s">
        <v>107</v>
      </c>
      <c r="B37" s="5" t="s">
        <v>350</v>
      </c>
      <c r="C37" s="5" t="n">
        <v>9</v>
      </c>
      <c r="D37" s="18" t="n">
        <v>81.2</v>
      </c>
      <c r="E37" s="5" t="n">
        <v>0</v>
      </c>
      <c r="F37" s="18" t="n">
        <f aca="false">IF(C37=0,"",D37/C37)</f>
        <v>9.02222222222222</v>
      </c>
    </row>
    <row r="38" customFormat="false" ht="15" hidden="false" customHeight="false" outlineLevel="0" collapsed="false">
      <c r="A38" s="6" t="s">
        <v>107</v>
      </c>
      <c r="B38" s="5" t="s">
        <v>351</v>
      </c>
      <c r="C38" s="5" t="n">
        <v>9</v>
      </c>
      <c r="D38" s="18" t="n">
        <v>59.9</v>
      </c>
      <c r="E38" s="5" t="n">
        <v>0</v>
      </c>
      <c r="F38" s="18" t="n">
        <f aca="false">IF(C38=0,"",D38/C38)</f>
        <v>6.65555555555556</v>
      </c>
    </row>
    <row r="39" customFormat="false" ht="15" hidden="false" customHeight="false" outlineLevel="0" collapsed="false">
      <c r="A39" s="6" t="s">
        <v>107</v>
      </c>
      <c r="B39" s="5" t="s">
        <v>352</v>
      </c>
      <c r="C39" s="5" t="n">
        <v>4</v>
      </c>
      <c r="D39" s="18" t="n">
        <v>59.3</v>
      </c>
      <c r="E39" s="5" t="n">
        <v>1</v>
      </c>
      <c r="F39" s="18" t="n">
        <f aca="false">IF(C39=0,"",D39/C39)</f>
        <v>14.825</v>
      </c>
    </row>
    <row r="40" customFormat="false" ht="15" hidden="false" customHeight="false" outlineLevel="0" collapsed="false">
      <c r="A40" s="6" t="s">
        <v>107</v>
      </c>
      <c r="B40" s="5" t="s">
        <v>353</v>
      </c>
      <c r="C40" s="5" t="n">
        <v>16</v>
      </c>
      <c r="D40" s="18" t="n">
        <v>189.9</v>
      </c>
      <c r="E40" s="5" t="n">
        <v>0</v>
      </c>
      <c r="F40" s="18" t="n">
        <f aca="false">IF(C40=0,"",D40/C40)</f>
        <v>11.86875</v>
      </c>
    </row>
    <row r="41" customFormat="false" ht="15" hidden="false" customHeight="false" outlineLevel="0" collapsed="false">
      <c r="A41" s="9" t="s">
        <v>109</v>
      </c>
      <c r="B41" s="25"/>
      <c r="C41" s="20" t="n">
        <f aca="false">SUM(C5:C40)</f>
        <v>302</v>
      </c>
      <c r="D41" s="28" t="n">
        <f aca="false">SUM(D5:D40)</f>
        <v>3075.6</v>
      </c>
      <c r="E41" s="20" t="n">
        <f aca="false">SUM(E5:E40)</f>
        <v>52</v>
      </c>
      <c r="F41" s="29" t="n">
        <f aca="false">D41/C41</f>
        <v>10.1841059602649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969"/>
    <pageSetUpPr fitToPage="false"/>
  </sheetPr>
  <dimension ref="A1:I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9" min="8" style="0" width="36"/>
  </cols>
  <sheetData>
    <row r="1" customFormat="false" ht="18.55" hidden="false" customHeight="false" outlineLevel="0" collapsed="false">
      <c r="A1" s="16" t="s">
        <v>354</v>
      </c>
    </row>
    <row r="2" customFormat="false" ht="15" hidden="false" customHeight="false" outlineLevel="0" collapsed="false">
      <c r="A2" s="30" t="s">
        <v>355</v>
      </c>
      <c r="E2" s="11" t="s">
        <v>73</v>
      </c>
    </row>
    <row r="4" customFormat="false" ht="30" hidden="false" customHeight="true" outlineLevel="0" collapsed="false">
      <c r="A4" s="12" t="s">
        <v>356</v>
      </c>
      <c r="B4" s="12" t="s">
        <v>357</v>
      </c>
      <c r="C4" s="12" t="s">
        <v>76</v>
      </c>
      <c r="D4" s="12" t="s">
        <v>358</v>
      </c>
      <c r="E4" s="12" t="s">
        <v>359</v>
      </c>
      <c r="F4" s="12" t="s">
        <v>360</v>
      </c>
      <c r="G4" s="12" t="s">
        <v>361</v>
      </c>
      <c r="H4" s="12" t="s">
        <v>362</v>
      </c>
      <c r="I4" s="12" t="s">
        <v>363</v>
      </c>
    </row>
    <row r="5" customFormat="false" ht="15" hidden="false" customHeight="false" outlineLevel="0" collapsed="false">
      <c r="A5" s="27" t="n">
        <v>1</v>
      </c>
      <c r="B5" s="26" t="s">
        <v>105</v>
      </c>
      <c r="C5" s="5" t="s">
        <v>91</v>
      </c>
      <c r="D5" s="27" t="n">
        <v>5</v>
      </c>
      <c r="E5" s="27" t="n">
        <v>4</v>
      </c>
      <c r="F5" s="27" t="n">
        <v>5</v>
      </c>
      <c r="G5" s="27" t="n">
        <v>5</v>
      </c>
      <c r="H5" s="5" t="s">
        <v>364</v>
      </c>
      <c r="I5" s="5"/>
    </row>
    <row r="6" customFormat="false" ht="15" hidden="false" customHeight="false" outlineLevel="0" collapsed="false">
      <c r="A6" s="27" t="n">
        <v>2</v>
      </c>
      <c r="B6" s="26" t="s">
        <v>96</v>
      </c>
      <c r="C6" s="5" t="s">
        <v>95</v>
      </c>
      <c r="D6" s="27" t="n">
        <v>5</v>
      </c>
      <c r="E6" s="27" t="n">
        <v>3</v>
      </c>
      <c r="F6" s="27" t="n">
        <v>3</v>
      </c>
      <c r="G6" s="27" t="n">
        <v>4</v>
      </c>
      <c r="H6" s="5" t="s">
        <v>365</v>
      </c>
      <c r="I6" s="5" t="s">
        <v>366</v>
      </c>
    </row>
    <row r="7" customFormat="false" ht="15" hidden="false" customHeight="false" outlineLevel="0" collapsed="false">
      <c r="A7" s="27" t="n">
        <v>3</v>
      </c>
      <c r="B7" s="26" t="s">
        <v>96</v>
      </c>
      <c r="C7" s="5" t="s">
        <v>91</v>
      </c>
      <c r="D7" s="27" t="n">
        <v>4</v>
      </c>
      <c r="E7" s="27" t="n">
        <v>5</v>
      </c>
      <c r="F7" s="27" t="n">
        <v>4</v>
      </c>
      <c r="G7" s="27" t="n">
        <v>5</v>
      </c>
      <c r="H7" s="5"/>
      <c r="I7" s="5" t="s">
        <v>366</v>
      </c>
    </row>
    <row r="8" customFormat="false" ht="15" hidden="false" customHeight="false" outlineLevel="0" collapsed="false">
      <c r="A8" s="27" t="n">
        <v>4</v>
      </c>
      <c r="B8" s="26" t="s">
        <v>86</v>
      </c>
      <c r="C8" s="5" t="s">
        <v>88</v>
      </c>
      <c r="D8" s="27" t="n">
        <v>3</v>
      </c>
      <c r="E8" s="27" t="n">
        <v>4</v>
      </c>
      <c r="F8" s="27" t="n">
        <v>3</v>
      </c>
      <c r="G8" s="27" t="n">
        <v>3</v>
      </c>
      <c r="H8" s="5" t="s">
        <v>367</v>
      </c>
      <c r="I8" s="5" t="s">
        <v>368</v>
      </c>
    </row>
    <row r="9" customFormat="false" ht="15" hidden="false" customHeight="false" outlineLevel="0" collapsed="false">
      <c r="A9" s="27" t="n">
        <v>5</v>
      </c>
      <c r="B9" s="26" t="s">
        <v>99</v>
      </c>
      <c r="C9" s="5" t="s">
        <v>92</v>
      </c>
      <c r="D9" s="27" t="n">
        <v>3</v>
      </c>
      <c r="E9" s="27" t="n">
        <v>5</v>
      </c>
      <c r="F9" s="27" t="n">
        <v>5</v>
      </c>
      <c r="G9" s="27" t="n">
        <v>3</v>
      </c>
      <c r="H9" s="5" t="s">
        <v>369</v>
      </c>
      <c r="I9" s="5" t="s">
        <v>370</v>
      </c>
    </row>
    <row r="10" customFormat="false" ht="15" hidden="false" customHeight="false" outlineLevel="0" collapsed="false">
      <c r="A10" s="27" t="n">
        <v>6</v>
      </c>
      <c r="B10" s="26" t="s">
        <v>99</v>
      </c>
      <c r="C10" s="5" t="s">
        <v>89</v>
      </c>
      <c r="D10" s="27" t="n">
        <v>4</v>
      </c>
      <c r="E10" s="27" t="n">
        <v>5</v>
      </c>
      <c r="F10" s="27" t="n">
        <v>5</v>
      </c>
      <c r="G10" s="27" t="n">
        <v>5</v>
      </c>
      <c r="H10" s="5" t="s">
        <v>371</v>
      </c>
      <c r="I10" s="5"/>
    </row>
    <row r="11" customFormat="false" ht="15" hidden="false" customHeight="false" outlineLevel="0" collapsed="false">
      <c r="A11" s="27" t="n">
        <v>7</v>
      </c>
      <c r="B11" s="26" t="s">
        <v>96</v>
      </c>
      <c r="C11" s="5" t="s">
        <v>95</v>
      </c>
      <c r="D11" s="27" t="n">
        <v>5</v>
      </c>
      <c r="E11" s="27" t="n">
        <v>5</v>
      </c>
      <c r="F11" s="27" t="n">
        <v>4</v>
      </c>
      <c r="G11" s="27" t="n">
        <v>5</v>
      </c>
      <c r="H11" s="5" t="s">
        <v>364</v>
      </c>
      <c r="I11" s="5"/>
    </row>
    <row r="12" customFormat="false" ht="15" hidden="false" customHeight="false" outlineLevel="0" collapsed="false">
      <c r="A12" s="27" t="n">
        <v>8</v>
      </c>
      <c r="B12" s="26" t="s">
        <v>98</v>
      </c>
      <c r="C12" s="5" t="s">
        <v>95</v>
      </c>
      <c r="D12" s="27" t="n">
        <v>4</v>
      </c>
      <c r="E12" s="27" t="n">
        <v>4</v>
      </c>
      <c r="F12" s="27" t="n">
        <v>3</v>
      </c>
      <c r="G12" s="27" t="n">
        <v>4</v>
      </c>
      <c r="H12" s="5" t="s">
        <v>372</v>
      </c>
      <c r="I12" s="5"/>
    </row>
    <row r="13" customFormat="false" ht="15" hidden="false" customHeight="false" outlineLevel="0" collapsed="false">
      <c r="A13" s="27" t="n">
        <v>9</v>
      </c>
      <c r="B13" s="26" t="s">
        <v>98</v>
      </c>
      <c r="C13" s="5" t="s">
        <v>88</v>
      </c>
      <c r="D13" s="27" t="n">
        <v>3</v>
      </c>
      <c r="E13" s="27" t="n">
        <v>5</v>
      </c>
      <c r="F13" s="27" t="n">
        <v>3</v>
      </c>
      <c r="G13" s="27" t="n">
        <v>4</v>
      </c>
      <c r="H13" s="5"/>
      <c r="I13" s="5" t="s">
        <v>373</v>
      </c>
    </row>
    <row r="14" customFormat="false" ht="15" hidden="false" customHeight="false" outlineLevel="0" collapsed="false">
      <c r="A14" s="27" t="n">
        <v>10</v>
      </c>
      <c r="B14" s="26" t="s">
        <v>96</v>
      </c>
      <c r="C14" s="5" t="s">
        <v>89</v>
      </c>
      <c r="D14" s="27" t="n">
        <v>5</v>
      </c>
      <c r="E14" s="27" t="n">
        <v>3</v>
      </c>
      <c r="F14" s="27" t="n">
        <v>5</v>
      </c>
      <c r="G14" s="27" t="n">
        <v>5</v>
      </c>
      <c r="H14" s="5" t="s">
        <v>369</v>
      </c>
      <c r="I14" s="5" t="s">
        <v>370</v>
      </c>
    </row>
    <row r="15" customFormat="false" ht="15" hidden="false" customHeight="false" outlineLevel="0" collapsed="false">
      <c r="A15" s="27" t="n">
        <v>11</v>
      </c>
      <c r="B15" s="26" t="s">
        <v>107</v>
      </c>
      <c r="C15" s="5" t="s">
        <v>91</v>
      </c>
      <c r="D15" s="27" t="n">
        <v>3</v>
      </c>
      <c r="E15" s="27" t="n">
        <v>5</v>
      </c>
      <c r="F15" s="27" t="n">
        <v>5</v>
      </c>
      <c r="G15" s="27" t="n">
        <v>4</v>
      </c>
      <c r="H15" s="5" t="s">
        <v>369</v>
      </c>
      <c r="I15" s="5" t="s">
        <v>373</v>
      </c>
    </row>
    <row r="16" customFormat="false" ht="15" hidden="false" customHeight="false" outlineLevel="0" collapsed="false">
      <c r="A16" s="27" t="n">
        <v>12</v>
      </c>
      <c r="B16" s="26" t="s">
        <v>105</v>
      </c>
      <c r="C16" s="5" t="s">
        <v>92</v>
      </c>
      <c r="D16" s="27" t="n">
        <v>4</v>
      </c>
      <c r="E16" s="27" t="n">
        <v>4</v>
      </c>
      <c r="F16" s="27" t="n">
        <v>5</v>
      </c>
      <c r="G16" s="27" t="n">
        <v>4</v>
      </c>
      <c r="H16" s="5" t="s">
        <v>367</v>
      </c>
      <c r="I16" s="5"/>
    </row>
    <row r="17" customFormat="false" ht="15" hidden="false" customHeight="false" outlineLevel="0" collapsed="false">
      <c r="A17" s="27" t="n">
        <v>13</v>
      </c>
      <c r="B17" s="26" t="s">
        <v>96</v>
      </c>
      <c r="C17" s="5" t="s">
        <v>95</v>
      </c>
      <c r="D17" s="27" t="n">
        <v>5</v>
      </c>
      <c r="E17" s="27" t="n">
        <v>4</v>
      </c>
      <c r="F17" s="27" t="n">
        <v>5</v>
      </c>
      <c r="G17" s="27" t="n">
        <v>5</v>
      </c>
      <c r="H17" s="5" t="s">
        <v>365</v>
      </c>
      <c r="I17" s="5" t="s">
        <v>374</v>
      </c>
    </row>
    <row r="18" customFormat="false" ht="15" hidden="false" customHeight="false" outlineLevel="0" collapsed="false">
      <c r="A18" s="27" t="n">
        <v>14</v>
      </c>
      <c r="B18" s="26" t="s">
        <v>103</v>
      </c>
      <c r="C18" s="5" t="s">
        <v>89</v>
      </c>
      <c r="D18" s="27" t="n">
        <v>4</v>
      </c>
      <c r="E18" s="27" t="n">
        <v>4</v>
      </c>
      <c r="F18" s="27" t="n">
        <v>3</v>
      </c>
      <c r="G18" s="27" t="n">
        <v>4</v>
      </c>
      <c r="H18" s="5" t="s">
        <v>371</v>
      </c>
      <c r="I18" s="5"/>
    </row>
    <row r="19" customFormat="false" ht="15" hidden="false" customHeight="false" outlineLevel="0" collapsed="false">
      <c r="A19" s="27" t="n">
        <v>15</v>
      </c>
      <c r="B19" s="26" t="s">
        <v>98</v>
      </c>
      <c r="C19" s="5" t="s">
        <v>95</v>
      </c>
      <c r="D19" s="27" t="n">
        <v>3</v>
      </c>
      <c r="E19" s="27" t="n">
        <v>3</v>
      </c>
      <c r="F19" s="27" t="n">
        <v>3</v>
      </c>
      <c r="G19" s="27" t="n">
        <v>2</v>
      </c>
      <c r="H19" s="5" t="s">
        <v>367</v>
      </c>
      <c r="I19" s="5" t="s">
        <v>368</v>
      </c>
    </row>
    <row r="20" customFormat="false" ht="15" hidden="false" customHeight="false" outlineLevel="0" collapsed="false">
      <c r="A20" s="27" t="n">
        <v>16</v>
      </c>
      <c r="B20" s="26" t="s">
        <v>98</v>
      </c>
      <c r="C20" s="5" t="s">
        <v>92</v>
      </c>
      <c r="D20" s="27" t="n">
        <v>4</v>
      </c>
      <c r="E20" s="27" t="n">
        <v>5</v>
      </c>
      <c r="F20" s="27" t="n">
        <v>3</v>
      </c>
      <c r="G20" s="27" t="n">
        <v>4</v>
      </c>
      <c r="H20" s="5" t="s">
        <v>371</v>
      </c>
      <c r="I20" s="5" t="s">
        <v>375</v>
      </c>
    </row>
    <row r="21" customFormat="false" ht="15" hidden="false" customHeight="false" outlineLevel="0" collapsed="false">
      <c r="A21" s="27" t="n">
        <v>17</v>
      </c>
      <c r="B21" s="26" t="s">
        <v>96</v>
      </c>
      <c r="C21" s="5" t="s">
        <v>88</v>
      </c>
      <c r="D21" s="27" t="n">
        <v>5</v>
      </c>
      <c r="E21" s="27" t="n">
        <v>3</v>
      </c>
      <c r="F21" s="27" t="n">
        <v>4</v>
      </c>
      <c r="G21" s="27" t="n">
        <v>3</v>
      </c>
      <c r="H21" s="5" t="s">
        <v>369</v>
      </c>
      <c r="I21" s="5" t="s">
        <v>373</v>
      </c>
    </row>
    <row r="22" customFormat="false" ht="15" hidden="false" customHeight="false" outlineLevel="0" collapsed="false">
      <c r="A22" s="27" t="n">
        <v>18</v>
      </c>
      <c r="B22" s="26" t="s">
        <v>107</v>
      </c>
      <c r="C22" s="5" t="s">
        <v>92</v>
      </c>
      <c r="D22" s="27" t="n">
        <v>4</v>
      </c>
      <c r="E22" s="27" t="n">
        <v>5</v>
      </c>
      <c r="F22" s="27" t="n">
        <v>5</v>
      </c>
      <c r="G22" s="27" t="n">
        <v>5</v>
      </c>
      <c r="H22" s="5" t="s">
        <v>369</v>
      </c>
      <c r="I22" s="5" t="s">
        <v>368</v>
      </c>
    </row>
    <row r="23" customFormat="false" ht="15" hidden="false" customHeight="false" outlineLevel="0" collapsed="false">
      <c r="A23" s="27" t="n">
        <v>19</v>
      </c>
      <c r="B23" s="26" t="s">
        <v>102</v>
      </c>
      <c r="C23" s="5" t="s">
        <v>92</v>
      </c>
      <c r="D23" s="27" t="n">
        <v>4</v>
      </c>
      <c r="E23" s="27" t="n">
        <v>3</v>
      </c>
      <c r="F23" s="27" t="n">
        <v>4</v>
      </c>
      <c r="G23" s="27" t="n">
        <v>3</v>
      </c>
      <c r="H23" s="5" t="s">
        <v>364</v>
      </c>
      <c r="I23" s="5" t="s">
        <v>375</v>
      </c>
    </row>
    <row r="24" customFormat="false" ht="15" hidden="false" customHeight="false" outlineLevel="0" collapsed="false">
      <c r="A24" s="27" t="n">
        <v>20</v>
      </c>
      <c r="B24" s="26" t="s">
        <v>86</v>
      </c>
      <c r="C24" s="5" t="s">
        <v>95</v>
      </c>
      <c r="D24" s="27" t="n">
        <v>3</v>
      </c>
      <c r="E24" s="27" t="n">
        <v>2</v>
      </c>
      <c r="F24" s="27" t="n">
        <v>4</v>
      </c>
      <c r="G24" s="27" t="n">
        <v>2</v>
      </c>
      <c r="H24" s="5" t="s">
        <v>376</v>
      </c>
      <c r="I24" s="5" t="s">
        <v>373</v>
      </c>
    </row>
    <row r="25" customFormat="false" ht="15" hidden="false" customHeight="false" outlineLevel="0" collapsed="false">
      <c r="A25" s="27" t="n">
        <v>21</v>
      </c>
      <c r="B25" s="26" t="s">
        <v>107</v>
      </c>
      <c r="C25" s="5" t="s">
        <v>89</v>
      </c>
      <c r="D25" s="27" t="n">
        <v>5</v>
      </c>
      <c r="E25" s="27" t="n">
        <v>3</v>
      </c>
      <c r="F25" s="27" t="n">
        <v>5</v>
      </c>
      <c r="G25" s="27" t="n">
        <v>3</v>
      </c>
      <c r="H25" s="5" t="s">
        <v>371</v>
      </c>
      <c r="I25" s="5" t="s">
        <v>368</v>
      </c>
    </row>
    <row r="26" customFormat="false" ht="15" hidden="false" customHeight="false" outlineLevel="0" collapsed="false">
      <c r="A26" s="27" t="n">
        <v>22</v>
      </c>
      <c r="B26" s="26" t="s">
        <v>99</v>
      </c>
      <c r="C26" s="5" t="s">
        <v>89</v>
      </c>
      <c r="D26" s="27" t="n">
        <v>5</v>
      </c>
      <c r="E26" s="27" t="n">
        <v>5</v>
      </c>
      <c r="F26" s="27" t="n">
        <v>4</v>
      </c>
      <c r="G26" s="27" t="n">
        <v>4</v>
      </c>
      <c r="H26" s="5" t="s">
        <v>367</v>
      </c>
      <c r="I26" s="5" t="s">
        <v>366</v>
      </c>
    </row>
    <row r="27" customFormat="false" ht="15" hidden="false" customHeight="false" outlineLevel="0" collapsed="false">
      <c r="A27" s="27" t="n">
        <v>23</v>
      </c>
      <c r="B27" s="26" t="s">
        <v>105</v>
      </c>
      <c r="C27" s="5" t="s">
        <v>89</v>
      </c>
      <c r="D27" s="27" t="n">
        <v>5</v>
      </c>
      <c r="E27" s="27" t="n">
        <v>4</v>
      </c>
      <c r="F27" s="27" t="n">
        <v>4</v>
      </c>
      <c r="G27" s="27" t="n">
        <v>3</v>
      </c>
      <c r="H27" s="5" t="s">
        <v>377</v>
      </c>
      <c r="I27" s="5" t="s">
        <v>366</v>
      </c>
    </row>
    <row r="28" customFormat="false" ht="15" hidden="false" customHeight="false" outlineLevel="0" collapsed="false">
      <c r="A28" s="27" t="n">
        <v>24</v>
      </c>
      <c r="B28" s="26" t="s">
        <v>102</v>
      </c>
      <c r="C28" s="5" t="s">
        <v>95</v>
      </c>
      <c r="D28" s="27" t="n">
        <v>4</v>
      </c>
      <c r="E28" s="27" t="n">
        <v>4</v>
      </c>
      <c r="F28" s="27" t="n">
        <v>5</v>
      </c>
      <c r="G28" s="27" t="n">
        <v>5</v>
      </c>
      <c r="H28" s="5" t="s">
        <v>364</v>
      </c>
      <c r="I28" s="5" t="s">
        <v>373</v>
      </c>
    </row>
    <row r="29" customFormat="false" ht="15" hidden="false" customHeight="false" outlineLevel="0" collapsed="false">
      <c r="A29" s="27" t="n">
        <v>25</v>
      </c>
      <c r="B29" s="26" t="s">
        <v>105</v>
      </c>
      <c r="C29" s="5" t="s">
        <v>95</v>
      </c>
      <c r="D29" s="27" t="n">
        <v>4</v>
      </c>
      <c r="E29" s="27" t="n">
        <v>5</v>
      </c>
      <c r="F29" s="27" t="n">
        <v>5</v>
      </c>
      <c r="G29" s="27" t="n">
        <v>5</v>
      </c>
      <c r="H29" s="5" t="s">
        <v>372</v>
      </c>
      <c r="I29" s="5" t="s">
        <v>370</v>
      </c>
    </row>
    <row r="30" customFormat="false" ht="15" hidden="false" customHeight="false" outlineLevel="0" collapsed="false">
      <c r="A30" s="27" t="n">
        <v>26</v>
      </c>
      <c r="B30" s="26" t="s">
        <v>103</v>
      </c>
      <c r="C30" s="5" t="s">
        <v>88</v>
      </c>
      <c r="D30" s="27" t="n">
        <v>4</v>
      </c>
      <c r="E30" s="27" t="n">
        <v>3</v>
      </c>
      <c r="F30" s="27" t="n">
        <v>5</v>
      </c>
      <c r="G30" s="27" t="n">
        <v>3</v>
      </c>
      <c r="H30" s="5" t="s">
        <v>377</v>
      </c>
      <c r="I30" s="5" t="s">
        <v>370</v>
      </c>
    </row>
    <row r="31" customFormat="false" ht="15" hidden="false" customHeight="false" outlineLevel="0" collapsed="false">
      <c r="A31" s="27" t="n">
        <v>27</v>
      </c>
      <c r="B31" s="26" t="s">
        <v>99</v>
      </c>
      <c r="C31" s="5" t="s">
        <v>91</v>
      </c>
      <c r="D31" s="27" t="n">
        <v>5</v>
      </c>
      <c r="E31" s="27" t="n">
        <v>4</v>
      </c>
      <c r="F31" s="27" t="n">
        <v>4</v>
      </c>
      <c r="G31" s="27" t="n">
        <v>5</v>
      </c>
      <c r="H31" s="5" t="s">
        <v>371</v>
      </c>
      <c r="I31" s="5" t="s">
        <v>368</v>
      </c>
    </row>
    <row r="32" customFormat="false" ht="15" hidden="false" customHeight="false" outlineLevel="0" collapsed="false">
      <c r="A32" s="27" t="n">
        <v>28</v>
      </c>
      <c r="B32" s="26" t="s">
        <v>102</v>
      </c>
      <c r="C32" s="5" t="s">
        <v>89</v>
      </c>
      <c r="D32" s="27" t="n">
        <v>5</v>
      </c>
      <c r="E32" s="27" t="n">
        <v>4</v>
      </c>
      <c r="F32" s="27" t="n">
        <v>5</v>
      </c>
      <c r="G32" s="27" t="n">
        <v>5</v>
      </c>
      <c r="H32" s="5" t="s">
        <v>371</v>
      </c>
      <c r="I32" s="5" t="s">
        <v>370</v>
      </c>
    </row>
    <row r="33" customFormat="false" ht="15" hidden="false" customHeight="false" outlineLevel="0" collapsed="false">
      <c r="A33" s="27" t="n">
        <v>29</v>
      </c>
      <c r="B33" s="26" t="s">
        <v>96</v>
      </c>
      <c r="C33" s="5" t="s">
        <v>95</v>
      </c>
      <c r="D33" s="27" t="n">
        <v>5</v>
      </c>
      <c r="E33" s="27" t="n">
        <v>5</v>
      </c>
      <c r="F33" s="27" t="n">
        <v>5</v>
      </c>
      <c r="G33" s="27" t="n">
        <v>4</v>
      </c>
      <c r="H33" s="5"/>
      <c r="I33" s="5" t="s">
        <v>366</v>
      </c>
    </row>
    <row r="34" customFormat="false" ht="15" hidden="false" customHeight="false" outlineLevel="0" collapsed="false">
      <c r="A34" s="27" t="n">
        <v>30</v>
      </c>
      <c r="B34" s="26" t="s">
        <v>96</v>
      </c>
      <c r="C34" s="5" t="s">
        <v>91</v>
      </c>
      <c r="D34" s="27" t="n">
        <v>3</v>
      </c>
      <c r="E34" s="27" t="n">
        <v>4</v>
      </c>
      <c r="F34" s="27" t="n">
        <v>4</v>
      </c>
      <c r="G34" s="27" t="n">
        <v>5</v>
      </c>
      <c r="H34" s="5" t="s">
        <v>377</v>
      </c>
      <c r="I34" s="5" t="s">
        <v>366</v>
      </c>
    </row>
    <row r="35" customFormat="false" ht="15" hidden="false" customHeight="false" outlineLevel="0" collapsed="false">
      <c r="A35" s="27" t="n">
        <v>31</v>
      </c>
      <c r="B35" s="26" t="s">
        <v>98</v>
      </c>
      <c r="C35" s="5" t="s">
        <v>91</v>
      </c>
      <c r="D35" s="27" t="n">
        <v>2</v>
      </c>
      <c r="E35" s="27" t="n">
        <v>3</v>
      </c>
      <c r="F35" s="27" t="n">
        <v>3</v>
      </c>
      <c r="G35" s="27" t="n">
        <v>3</v>
      </c>
      <c r="H35" s="5" t="s">
        <v>372</v>
      </c>
      <c r="I35" s="5"/>
    </row>
    <row r="36" customFormat="false" ht="15" hidden="false" customHeight="false" outlineLevel="0" collapsed="false">
      <c r="A36" s="27" t="n">
        <v>32</v>
      </c>
      <c r="B36" s="26" t="s">
        <v>103</v>
      </c>
      <c r="C36" s="5" t="s">
        <v>95</v>
      </c>
      <c r="D36" s="27" t="n">
        <v>5</v>
      </c>
      <c r="E36" s="27" t="n">
        <v>5</v>
      </c>
      <c r="F36" s="27" t="n">
        <v>5</v>
      </c>
      <c r="G36" s="27" t="n">
        <v>5</v>
      </c>
      <c r="H36" s="5" t="s">
        <v>371</v>
      </c>
      <c r="I36" s="5" t="s">
        <v>374</v>
      </c>
    </row>
    <row r="37" customFormat="false" ht="15" hidden="false" customHeight="false" outlineLevel="0" collapsed="false">
      <c r="A37" s="27" t="n">
        <v>33</v>
      </c>
      <c r="B37" s="26" t="s">
        <v>86</v>
      </c>
      <c r="C37" s="5" t="s">
        <v>95</v>
      </c>
      <c r="D37" s="27" t="n">
        <v>4</v>
      </c>
      <c r="E37" s="27" t="n">
        <v>4</v>
      </c>
      <c r="F37" s="27" t="n">
        <v>4</v>
      </c>
      <c r="G37" s="27" t="n">
        <v>5</v>
      </c>
      <c r="H37" s="5"/>
      <c r="I37" s="5" t="s">
        <v>370</v>
      </c>
    </row>
    <row r="38" customFormat="false" ht="15" hidden="false" customHeight="false" outlineLevel="0" collapsed="false">
      <c r="A38" s="27" t="n">
        <v>34</v>
      </c>
      <c r="B38" s="26" t="s">
        <v>98</v>
      </c>
      <c r="C38" s="5" t="s">
        <v>91</v>
      </c>
      <c r="D38" s="27" t="n">
        <v>4</v>
      </c>
      <c r="E38" s="27" t="n">
        <v>5</v>
      </c>
      <c r="F38" s="27" t="n">
        <v>5</v>
      </c>
      <c r="G38" s="27" t="n">
        <v>4</v>
      </c>
      <c r="H38" s="5" t="s">
        <v>377</v>
      </c>
      <c r="I38" s="5" t="s">
        <v>368</v>
      </c>
    </row>
    <row r="39" customFormat="false" ht="15" hidden="false" customHeight="false" outlineLevel="0" collapsed="false">
      <c r="A39" s="27" t="n">
        <v>35</v>
      </c>
      <c r="B39" s="26" t="s">
        <v>105</v>
      </c>
      <c r="C39" s="5" t="s">
        <v>94</v>
      </c>
      <c r="D39" s="27" t="n">
        <v>4</v>
      </c>
      <c r="E39" s="27" t="n">
        <v>5</v>
      </c>
      <c r="F39" s="27" t="n">
        <v>5</v>
      </c>
      <c r="G39" s="27" t="n">
        <v>5</v>
      </c>
      <c r="H39" s="5" t="s">
        <v>371</v>
      </c>
      <c r="I39" s="5" t="s">
        <v>374</v>
      </c>
    </row>
    <row r="40" customFormat="false" ht="15" hidden="false" customHeight="false" outlineLevel="0" collapsed="false">
      <c r="A40" s="27" t="n">
        <v>36</v>
      </c>
      <c r="B40" s="26" t="s">
        <v>105</v>
      </c>
      <c r="C40" s="5" t="s">
        <v>95</v>
      </c>
      <c r="D40" s="27" t="n">
        <v>5</v>
      </c>
      <c r="E40" s="27" t="n">
        <v>5</v>
      </c>
      <c r="F40" s="27" t="n">
        <v>5</v>
      </c>
      <c r="G40" s="27" t="n">
        <v>4</v>
      </c>
      <c r="H40" s="5" t="s">
        <v>369</v>
      </c>
      <c r="I40" s="5" t="s">
        <v>370</v>
      </c>
    </row>
    <row r="41" customFormat="false" ht="15" hidden="false" customHeight="false" outlineLevel="0" collapsed="false">
      <c r="A41" s="27" t="n">
        <v>37</v>
      </c>
      <c r="B41" s="26" t="s">
        <v>100</v>
      </c>
      <c r="C41" s="5" t="s">
        <v>88</v>
      </c>
      <c r="D41" s="27" t="n">
        <v>5</v>
      </c>
      <c r="E41" s="27" t="n">
        <v>4</v>
      </c>
      <c r="F41" s="27" t="n">
        <v>5</v>
      </c>
      <c r="G41" s="27" t="n">
        <v>3</v>
      </c>
      <c r="H41" s="5"/>
      <c r="I41" s="5" t="s">
        <v>375</v>
      </c>
    </row>
    <row r="42" customFormat="false" ht="15" hidden="false" customHeight="false" outlineLevel="0" collapsed="false">
      <c r="A42" s="27" t="n">
        <v>38</v>
      </c>
      <c r="B42" s="26" t="s">
        <v>102</v>
      </c>
      <c r="C42" s="5" t="s">
        <v>88</v>
      </c>
      <c r="D42" s="27" t="n">
        <v>4</v>
      </c>
      <c r="E42" s="27" t="n">
        <v>4</v>
      </c>
      <c r="F42" s="27" t="n">
        <v>4</v>
      </c>
      <c r="G42" s="27" t="n">
        <v>4</v>
      </c>
      <c r="H42" s="5"/>
      <c r="I42" s="5"/>
    </row>
    <row r="43" customFormat="false" ht="15" hidden="false" customHeight="false" outlineLevel="0" collapsed="false">
      <c r="A43" s="27" t="n">
        <v>39</v>
      </c>
      <c r="B43" s="26" t="s">
        <v>98</v>
      </c>
      <c r="C43" s="5" t="s">
        <v>95</v>
      </c>
      <c r="D43" s="27" t="n">
        <v>5</v>
      </c>
      <c r="E43" s="27" t="n">
        <v>5</v>
      </c>
      <c r="F43" s="27" t="n">
        <v>3</v>
      </c>
      <c r="G43" s="27" t="n">
        <v>3</v>
      </c>
      <c r="H43" s="5"/>
      <c r="I43" s="5"/>
    </row>
    <row r="44" customFormat="false" ht="15" hidden="false" customHeight="false" outlineLevel="0" collapsed="false">
      <c r="A44" s="27" t="n">
        <v>40</v>
      </c>
      <c r="B44" s="26" t="s">
        <v>100</v>
      </c>
      <c r="C44" s="5" t="s">
        <v>92</v>
      </c>
      <c r="D44" s="27" t="n">
        <v>4</v>
      </c>
      <c r="E44" s="27" t="n">
        <v>5</v>
      </c>
      <c r="F44" s="27" t="n">
        <v>4</v>
      </c>
      <c r="G44" s="27" t="n">
        <v>3</v>
      </c>
      <c r="H44" s="5" t="s">
        <v>372</v>
      </c>
      <c r="I44" s="5"/>
    </row>
    <row r="45" customFormat="false" ht="15" hidden="false" customHeight="false" outlineLevel="0" collapsed="false">
      <c r="A45" s="27" t="n">
        <v>41</v>
      </c>
      <c r="B45" s="26" t="s">
        <v>86</v>
      </c>
      <c r="C45" s="5" t="s">
        <v>89</v>
      </c>
      <c r="D45" s="27" t="n">
        <v>5</v>
      </c>
      <c r="E45" s="27" t="n">
        <v>4</v>
      </c>
      <c r="F45" s="27" t="n">
        <v>4</v>
      </c>
      <c r="G45" s="27" t="n">
        <v>5</v>
      </c>
      <c r="H45" s="5" t="s">
        <v>365</v>
      </c>
      <c r="I45" s="5" t="s">
        <v>378</v>
      </c>
    </row>
    <row r="46" customFormat="false" ht="15" hidden="false" customHeight="false" outlineLevel="0" collapsed="false">
      <c r="A46" s="27" t="n">
        <v>42</v>
      </c>
      <c r="B46" s="26" t="s">
        <v>102</v>
      </c>
      <c r="C46" s="5" t="s">
        <v>92</v>
      </c>
      <c r="D46" s="27" t="n">
        <v>5</v>
      </c>
      <c r="E46" s="27" t="n">
        <v>4</v>
      </c>
      <c r="F46" s="27" t="n">
        <v>3</v>
      </c>
      <c r="G46" s="27" t="n">
        <v>5</v>
      </c>
      <c r="H46" s="5" t="s">
        <v>367</v>
      </c>
      <c r="I46" s="5"/>
    </row>
    <row r="47" customFormat="false" ht="15" hidden="false" customHeight="false" outlineLevel="0" collapsed="false">
      <c r="A47" s="27" t="n">
        <v>43</v>
      </c>
      <c r="B47" s="26" t="s">
        <v>105</v>
      </c>
      <c r="C47" s="5" t="s">
        <v>88</v>
      </c>
      <c r="D47" s="27" t="n">
        <v>3</v>
      </c>
      <c r="E47" s="27" t="n">
        <v>2</v>
      </c>
      <c r="F47" s="27" t="n">
        <v>3</v>
      </c>
      <c r="G47" s="27" t="n">
        <v>4</v>
      </c>
      <c r="H47" s="5" t="s">
        <v>376</v>
      </c>
      <c r="I47" s="5" t="s">
        <v>368</v>
      </c>
    </row>
    <row r="48" customFormat="false" ht="15" hidden="false" customHeight="false" outlineLevel="0" collapsed="false">
      <c r="A48" s="27" t="n">
        <v>44</v>
      </c>
      <c r="B48" s="26" t="s">
        <v>107</v>
      </c>
      <c r="C48" s="5" t="s">
        <v>88</v>
      </c>
      <c r="D48" s="27" t="n">
        <v>5</v>
      </c>
      <c r="E48" s="27" t="n">
        <v>4</v>
      </c>
      <c r="F48" s="27" t="n">
        <v>4</v>
      </c>
      <c r="G48" s="27" t="n">
        <v>5</v>
      </c>
      <c r="H48" s="5" t="s">
        <v>377</v>
      </c>
      <c r="I48" s="5" t="s">
        <v>373</v>
      </c>
    </row>
    <row r="49" customFormat="false" ht="15" hidden="false" customHeight="false" outlineLevel="0" collapsed="false">
      <c r="A49" s="27" t="n">
        <v>45</v>
      </c>
      <c r="B49" s="26" t="s">
        <v>86</v>
      </c>
      <c r="C49" s="5" t="s">
        <v>88</v>
      </c>
      <c r="D49" s="27" t="n">
        <v>5</v>
      </c>
      <c r="E49" s="27" t="n">
        <v>5</v>
      </c>
      <c r="F49" s="27" t="n">
        <v>3</v>
      </c>
      <c r="G49" s="27" t="n">
        <v>3</v>
      </c>
      <c r="H49" s="5" t="s">
        <v>376</v>
      </c>
      <c r="I49" s="5"/>
    </row>
    <row r="50" customFormat="false" ht="15" hidden="false" customHeight="false" outlineLevel="0" collapsed="false">
      <c r="A50" s="27" t="n">
        <v>46</v>
      </c>
      <c r="B50" s="26" t="s">
        <v>98</v>
      </c>
      <c r="C50" s="5" t="s">
        <v>89</v>
      </c>
      <c r="D50" s="27" t="n">
        <v>5</v>
      </c>
      <c r="E50" s="27" t="n">
        <v>4</v>
      </c>
      <c r="F50" s="27" t="n">
        <v>4</v>
      </c>
      <c r="G50" s="27" t="n">
        <v>5</v>
      </c>
      <c r="H50" s="5"/>
      <c r="I50" s="5" t="s">
        <v>368</v>
      </c>
    </row>
    <row r="51" customFormat="false" ht="15" hidden="false" customHeight="false" outlineLevel="0" collapsed="false">
      <c r="A51" s="27" t="n">
        <v>47</v>
      </c>
      <c r="B51" s="26" t="s">
        <v>107</v>
      </c>
      <c r="C51" s="5" t="s">
        <v>94</v>
      </c>
      <c r="D51" s="27" t="n">
        <v>4</v>
      </c>
      <c r="E51" s="27" t="n">
        <v>4</v>
      </c>
      <c r="F51" s="27" t="n">
        <v>5</v>
      </c>
      <c r="G51" s="27" t="n">
        <v>4</v>
      </c>
      <c r="H51" s="5" t="s">
        <v>371</v>
      </c>
      <c r="I51" s="5" t="s">
        <v>375</v>
      </c>
    </row>
    <row r="52" customFormat="false" ht="15" hidden="false" customHeight="false" outlineLevel="0" collapsed="false">
      <c r="A52" s="27" t="n">
        <v>48</v>
      </c>
      <c r="B52" s="26" t="s">
        <v>98</v>
      </c>
      <c r="C52" s="5" t="s">
        <v>95</v>
      </c>
      <c r="D52" s="27" t="n">
        <v>4</v>
      </c>
      <c r="E52" s="27" t="n">
        <v>4</v>
      </c>
      <c r="F52" s="27" t="n">
        <v>3</v>
      </c>
      <c r="G52" s="27" t="n">
        <v>5</v>
      </c>
      <c r="H52" s="5" t="s">
        <v>364</v>
      </c>
      <c r="I52" s="5" t="s">
        <v>374</v>
      </c>
    </row>
    <row r="53" customFormat="false" ht="15" hidden="false" customHeight="false" outlineLevel="0" collapsed="false">
      <c r="A53" s="27" t="n">
        <v>49</v>
      </c>
      <c r="B53" s="26" t="s">
        <v>103</v>
      </c>
      <c r="C53" s="5" t="s">
        <v>92</v>
      </c>
      <c r="D53" s="27" t="n">
        <v>4</v>
      </c>
      <c r="E53" s="27" t="n">
        <v>4</v>
      </c>
      <c r="F53" s="27" t="n">
        <v>4</v>
      </c>
      <c r="G53" s="27" t="n">
        <v>3</v>
      </c>
      <c r="H53" s="5" t="s">
        <v>365</v>
      </c>
      <c r="I53" s="5"/>
    </row>
    <row r="54" customFormat="false" ht="15" hidden="false" customHeight="false" outlineLevel="0" collapsed="false">
      <c r="A54" s="27" t="n">
        <v>50</v>
      </c>
      <c r="B54" s="26" t="s">
        <v>105</v>
      </c>
      <c r="C54" s="5" t="s">
        <v>92</v>
      </c>
      <c r="D54" s="27" t="n">
        <v>4</v>
      </c>
      <c r="E54" s="27" t="n">
        <v>3</v>
      </c>
      <c r="F54" s="27" t="n">
        <v>4</v>
      </c>
      <c r="G54" s="27" t="n">
        <v>3</v>
      </c>
      <c r="H54" s="5" t="s">
        <v>369</v>
      </c>
      <c r="I54" s="5" t="s">
        <v>366</v>
      </c>
    </row>
    <row r="55" customFormat="false" ht="15" hidden="false" customHeight="false" outlineLevel="0" collapsed="false">
      <c r="A55" s="27" t="n">
        <v>51</v>
      </c>
      <c r="B55" s="26" t="s">
        <v>100</v>
      </c>
      <c r="C55" s="5" t="s">
        <v>91</v>
      </c>
      <c r="D55" s="27" t="n">
        <v>5</v>
      </c>
      <c r="E55" s="27" t="n">
        <v>5</v>
      </c>
      <c r="F55" s="27" t="n">
        <v>4</v>
      </c>
      <c r="G55" s="27" t="n">
        <v>4</v>
      </c>
      <c r="H55" s="5" t="s">
        <v>376</v>
      </c>
      <c r="I55" s="5" t="s">
        <v>373</v>
      </c>
    </row>
    <row r="56" customFormat="false" ht="15" hidden="false" customHeight="false" outlineLevel="0" collapsed="false">
      <c r="A56" s="27" t="n">
        <v>52</v>
      </c>
      <c r="B56" s="26" t="s">
        <v>86</v>
      </c>
      <c r="C56" s="5" t="s">
        <v>94</v>
      </c>
      <c r="D56" s="27" t="n">
        <v>5</v>
      </c>
      <c r="E56" s="27" t="n">
        <v>5</v>
      </c>
      <c r="F56" s="27" t="n">
        <v>4</v>
      </c>
      <c r="G56" s="27" t="n">
        <v>5</v>
      </c>
      <c r="H56" s="5" t="s">
        <v>365</v>
      </c>
      <c r="I56" s="5" t="s">
        <v>375</v>
      </c>
    </row>
    <row r="57" customFormat="false" ht="15" hidden="false" customHeight="false" outlineLevel="0" collapsed="false">
      <c r="A57" s="27" t="n">
        <v>53</v>
      </c>
      <c r="B57" s="26" t="s">
        <v>103</v>
      </c>
      <c r="C57" s="5" t="s">
        <v>94</v>
      </c>
      <c r="D57" s="27" t="n">
        <v>4</v>
      </c>
      <c r="E57" s="27" t="n">
        <v>4</v>
      </c>
      <c r="F57" s="27" t="n">
        <v>5</v>
      </c>
      <c r="G57" s="27" t="n">
        <v>3</v>
      </c>
      <c r="H57" s="5" t="s">
        <v>372</v>
      </c>
      <c r="I57" s="5"/>
    </row>
    <row r="58" customFormat="false" ht="15" hidden="false" customHeight="false" outlineLevel="0" collapsed="false">
      <c r="A58" s="27" t="n">
        <v>54</v>
      </c>
      <c r="B58" s="26" t="s">
        <v>96</v>
      </c>
      <c r="C58" s="5" t="s">
        <v>89</v>
      </c>
      <c r="D58" s="27" t="n">
        <v>5</v>
      </c>
      <c r="E58" s="27" t="n">
        <v>5</v>
      </c>
      <c r="F58" s="27" t="n">
        <v>4</v>
      </c>
      <c r="G58" s="27" t="n">
        <v>5</v>
      </c>
      <c r="H58" s="5" t="s">
        <v>371</v>
      </c>
      <c r="I58" s="5" t="s">
        <v>368</v>
      </c>
    </row>
    <row r="59" customFormat="false" ht="15" hidden="false" customHeight="false" outlineLevel="0" collapsed="false">
      <c r="A59" s="27" t="n">
        <v>55</v>
      </c>
      <c r="B59" s="26" t="s">
        <v>102</v>
      </c>
      <c r="C59" s="5" t="s">
        <v>95</v>
      </c>
      <c r="D59" s="27" t="n">
        <v>5</v>
      </c>
      <c r="E59" s="27" t="n">
        <v>4</v>
      </c>
      <c r="F59" s="27" t="n">
        <v>5</v>
      </c>
      <c r="G59" s="27" t="n">
        <v>5</v>
      </c>
      <c r="H59" s="5" t="s">
        <v>376</v>
      </c>
      <c r="I59" s="5" t="s">
        <v>370</v>
      </c>
    </row>
    <row r="60" customFormat="false" ht="15" hidden="false" customHeight="false" outlineLevel="0" collapsed="false">
      <c r="A60" s="27" t="n">
        <v>56</v>
      </c>
      <c r="B60" s="26" t="s">
        <v>102</v>
      </c>
      <c r="C60" s="5" t="s">
        <v>92</v>
      </c>
      <c r="D60" s="27" t="n">
        <v>4</v>
      </c>
      <c r="E60" s="27" t="n">
        <v>5</v>
      </c>
      <c r="F60" s="27" t="n">
        <v>3</v>
      </c>
      <c r="G60" s="27" t="n">
        <v>5</v>
      </c>
      <c r="H60" s="5" t="s">
        <v>365</v>
      </c>
      <c r="I60" s="5" t="s">
        <v>366</v>
      </c>
    </row>
    <row r="61" customFormat="false" ht="15" hidden="false" customHeight="false" outlineLevel="0" collapsed="false">
      <c r="A61" s="27" t="n">
        <v>57</v>
      </c>
      <c r="B61" s="26" t="s">
        <v>102</v>
      </c>
      <c r="C61" s="5" t="s">
        <v>91</v>
      </c>
      <c r="D61" s="27" t="n">
        <v>5</v>
      </c>
      <c r="E61" s="27" t="n">
        <v>4</v>
      </c>
      <c r="F61" s="27" t="n">
        <v>5</v>
      </c>
      <c r="G61" s="27" t="n">
        <v>5</v>
      </c>
      <c r="H61" s="5" t="s">
        <v>369</v>
      </c>
      <c r="I61" s="5" t="s">
        <v>378</v>
      </c>
    </row>
    <row r="62" customFormat="false" ht="15" hidden="false" customHeight="false" outlineLevel="0" collapsed="false">
      <c r="A62" s="27" t="n">
        <v>58</v>
      </c>
      <c r="B62" s="26" t="s">
        <v>96</v>
      </c>
      <c r="C62" s="5" t="s">
        <v>88</v>
      </c>
      <c r="D62" s="27" t="n">
        <v>4</v>
      </c>
      <c r="E62" s="27" t="n">
        <v>4</v>
      </c>
      <c r="F62" s="27" t="n">
        <v>5</v>
      </c>
      <c r="G62" s="27" t="n">
        <v>3</v>
      </c>
      <c r="H62" s="5"/>
      <c r="I62" s="5" t="s">
        <v>375</v>
      </c>
    </row>
    <row r="63" customFormat="false" ht="15" hidden="false" customHeight="false" outlineLevel="0" collapsed="false">
      <c r="A63" s="27" t="n">
        <v>59</v>
      </c>
      <c r="B63" s="26" t="s">
        <v>107</v>
      </c>
      <c r="C63" s="5" t="s">
        <v>91</v>
      </c>
      <c r="D63" s="27" t="n">
        <v>4</v>
      </c>
      <c r="E63" s="27" t="n">
        <v>3</v>
      </c>
      <c r="F63" s="27" t="n">
        <v>3</v>
      </c>
      <c r="G63" s="27" t="n">
        <v>5</v>
      </c>
      <c r="H63" s="5" t="s">
        <v>367</v>
      </c>
      <c r="I63" s="5"/>
    </row>
    <row r="64" customFormat="false" ht="15" hidden="false" customHeight="false" outlineLevel="0" collapsed="false">
      <c r="A64" s="27" t="n">
        <v>60</v>
      </c>
      <c r="B64" s="26" t="s">
        <v>96</v>
      </c>
      <c r="C64" s="5" t="s">
        <v>91</v>
      </c>
      <c r="D64" s="27" t="n">
        <v>3</v>
      </c>
      <c r="E64" s="27" t="n">
        <v>3</v>
      </c>
      <c r="F64" s="27" t="n">
        <v>3</v>
      </c>
      <c r="G64" s="27" t="n">
        <v>4</v>
      </c>
      <c r="H64" s="5" t="s">
        <v>372</v>
      </c>
      <c r="I64" s="5" t="s">
        <v>373</v>
      </c>
    </row>
    <row r="65" customFormat="false" ht="15" hidden="false" customHeight="false" outlineLevel="0" collapsed="false">
      <c r="A65" s="27" t="n">
        <v>61</v>
      </c>
      <c r="B65" s="26" t="s">
        <v>103</v>
      </c>
      <c r="C65" s="5" t="s">
        <v>91</v>
      </c>
      <c r="D65" s="27" t="n">
        <v>5</v>
      </c>
      <c r="E65" s="27" t="n">
        <v>4</v>
      </c>
      <c r="F65" s="27" t="n">
        <v>5</v>
      </c>
      <c r="G65" s="27" t="n">
        <v>5</v>
      </c>
      <c r="H65" s="5"/>
      <c r="I65" s="5" t="s">
        <v>373</v>
      </c>
    </row>
    <row r="66" customFormat="false" ht="15" hidden="false" customHeight="false" outlineLevel="0" collapsed="false">
      <c r="A66" s="27" t="n">
        <v>62</v>
      </c>
      <c r="B66" s="26" t="s">
        <v>102</v>
      </c>
      <c r="C66" s="5" t="s">
        <v>94</v>
      </c>
      <c r="D66" s="27" t="n">
        <v>4</v>
      </c>
      <c r="E66" s="27" t="n">
        <v>2</v>
      </c>
      <c r="F66" s="27" t="n">
        <v>2</v>
      </c>
      <c r="G66" s="27" t="n">
        <v>2</v>
      </c>
      <c r="H66" s="5" t="s">
        <v>371</v>
      </c>
      <c r="I66" s="5" t="s">
        <v>373</v>
      </c>
    </row>
    <row r="67" customFormat="false" ht="15" hidden="false" customHeight="false" outlineLevel="0" collapsed="false">
      <c r="A67" s="27" t="n">
        <v>63</v>
      </c>
      <c r="B67" s="26" t="s">
        <v>102</v>
      </c>
      <c r="C67" s="5" t="s">
        <v>94</v>
      </c>
      <c r="D67" s="27" t="n">
        <v>3</v>
      </c>
      <c r="E67" s="27" t="n">
        <v>3</v>
      </c>
      <c r="F67" s="27" t="n">
        <v>3</v>
      </c>
      <c r="G67" s="27" t="n">
        <v>4</v>
      </c>
      <c r="H67" s="5" t="s">
        <v>377</v>
      </c>
      <c r="I67" s="5" t="s">
        <v>370</v>
      </c>
    </row>
    <row r="68" customFormat="false" ht="15" hidden="false" customHeight="false" outlineLevel="0" collapsed="false">
      <c r="A68" s="27" t="n">
        <v>64</v>
      </c>
      <c r="B68" s="26" t="s">
        <v>102</v>
      </c>
      <c r="C68" s="5" t="s">
        <v>88</v>
      </c>
      <c r="D68" s="27" t="n">
        <v>4</v>
      </c>
      <c r="E68" s="27" t="n">
        <v>4</v>
      </c>
      <c r="F68" s="27" t="n">
        <v>4</v>
      </c>
      <c r="G68" s="27" t="n">
        <v>3</v>
      </c>
      <c r="H68" s="5" t="s">
        <v>371</v>
      </c>
      <c r="I68" s="5" t="s">
        <v>368</v>
      </c>
    </row>
    <row r="69" customFormat="false" ht="15" hidden="false" customHeight="false" outlineLevel="0" collapsed="false">
      <c r="A69" s="27" t="n">
        <v>65</v>
      </c>
      <c r="B69" s="26" t="s">
        <v>100</v>
      </c>
      <c r="C69" s="5" t="s">
        <v>91</v>
      </c>
      <c r="D69" s="27" t="n">
        <v>3</v>
      </c>
      <c r="E69" s="27" t="n">
        <v>4</v>
      </c>
      <c r="F69" s="27" t="n">
        <v>3</v>
      </c>
      <c r="G69" s="27" t="n">
        <v>3</v>
      </c>
      <c r="H69" s="5" t="s">
        <v>367</v>
      </c>
      <c r="I69" s="5"/>
    </row>
    <row r="70" customFormat="false" ht="15" hidden="false" customHeight="false" outlineLevel="0" collapsed="false">
      <c r="A70" s="27" t="n">
        <v>66</v>
      </c>
      <c r="B70" s="26" t="s">
        <v>102</v>
      </c>
      <c r="C70" s="5" t="s">
        <v>94</v>
      </c>
      <c r="D70" s="27" t="n">
        <v>4</v>
      </c>
      <c r="E70" s="27" t="n">
        <v>5</v>
      </c>
      <c r="F70" s="27" t="n">
        <v>5</v>
      </c>
      <c r="G70" s="27" t="n">
        <v>5</v>
      </c>
      <c r="H70" s="5" t="s">
        <v>364</v>
      </c>
      <c r="I70" s="5" t="s">
        <v>366</v>
      </c>
    </row>
    <row r="71" customFormat="false" ht="15" hidden="false" customHeight="false" outlineLevel="0" collapsed="false">
      <c r="A71" s="27" t="n">
        <v>67</v>
      </c>
      <c r="B71" s="26" t="s">
        <v>103</v>
      </c>
      <c r="C71" s="5" t="s">
        <v>89</v>
      </c>
      <c r="D71" s="27" t="n">
        <v>4</v>
      </c>
      <c r="E71" s="27" t="n">
        <v>3</v>
      </c>
      <c r="F71" s="27" t="n">
        <v>2</v>
      </c>
      <c r="G71" s="27" t="n">
        <v>4</v>
      </c>
      <c r="H71" s="5"/>
      <c r="I71" s="5" t="s">
        <v>370</v>
      </c>
    </row>
    <row r="72" customFormat="false" ht="15" hidden="false" customHeight="false" outlineLevel="0" collapsed="false">
      <c r="A72" s="27" t="n">
        <v>68</v>
      </c>
      <c r="B72" s="26" t="s">
        <v>98</v>
      </c>
      <c r="C72" s="5" t="s">
        <v>91</v>
      </c>
      <c r="D72" s="27" t="n">
        <v>5</v>
      </c>
      <c r="E72" s="27" t="n">
        <v>4</v>
      </c>
      <c r="F72" s="27" t="n">
        <v>4</v>
      </c>
      <c r="G72" s="27" t="n">
        <v>3</v>
      </c>
      <c r="H72" s="5" t="s">
        <v>369</v>
      </c>
      <c r="I72" s="5"/>
    </row>
    <row r="73" customFormat="false" ht="15" hidden="false" customHeight="false" outlineLevel="0" collapsed="false">
      <c r="A73" s="27" t="n">
        <v>69</v>
      </c>
      <c r="B73" s="26" t="s">
        <v>107</v>
      </c>
      <c r="C73" s="5" t="s">
        <v>91</v>
      </c>
      <c r="D73" s="27" t="n">
        <v>5</v>
      </c>
      <c r="E73" s="27" t="n">
        <v>5</v>
      </c>
      <c r="F73" s="27" t="n">
        <v>5</v>
      </c>
      <c r="G73" s="27" t="n">
        <v>5</v>
      </c>
      <c r="H73" s="5" t="s">
        <v>365</v>
      </c>
      <c r="I73" s="5" t="s">
        <v>368</v>
      </c>
    </row>
    <row r="74" customFormat="false" ht="15" hidden="false" customHeight="false" outlineLevel="0" collapsed="false">
      <c r="A74" s="27" t="n">
        <v>70</v>
      </c>
      <c r="B74" s="26" t="s">
        <v>98</v>
      </c>
      <c r="C74" s="5" t="s">
        <v>91</v>
      </c>
      <c r="D74" s="27" t="n">
        <v>4</v>
      </c>
      <c r="E74" s="27" t="n">
        <v>4</v>
      </c>
      <c r="F74" s="27" t="n">
        <v>5</v>
      </c>
      <c r="G74" s="27" t="n">
        <v>3</v>
      </c>
      <c r="H74" s="5"/>
      <c r="I74" s="5" t="s">
        <v>375</v>
      </c>
    </row>
    <row r="75" customFormat="false" ht="15" hidden="false" customHeight="false" outlineLevel="0" collapsed="false">
      <c r="A75" s="27" t="n">
        <v>71</v>
      </c>
      <c r="B75" s="26" t="s">
        <v>99</v>
      </c>
      <c r="C75" s="5" t="s">
        <v>95</v>
      </c>
      <c r="D75" s="27" t="n">
        <v>3</v>
      </c>
      <c r="E75" s="27" t="n">
        <v>4</v>
      </c>
      <c r="F75" s="27" t="n">
        <v>5</v>
      </c>
      <c r="G75" s="27" t="n">
        <v>3</v>
      </c>
      <c r="H75" s="5" t="s">
        <v>372</v>
      </c>
      <c r="I75" s="5" t="s">
        <v>370</v>
      </c>
    </row>
    <row r="76" customFormat="false" ht="15" hidden="false" customHeight="false" outlineLevel="0" collapsed="false">
      <c r="A76" s="27" t="n">
        <v>72</v>
      </c>
      <c r="B76" s="26" t="s">
        <v>102</v>
      </c>
      <c r="C76" s="5" t="s">
        <v>92</v>
      </c>
      <c r="D76" s="27" t="n">
        <v>5</v>
      </c>
      <c r="E76" s="27" t="n">
        <v>5</v>
      </c>
      <c r="F76" s="27" t="n">
        <v>5</v>
      </c>
      <c r="G76" s="27" t="n">
        <v>5</v>
      </c>
      <c r="H76" s="5" t="s">
        <v>365</v>
      </c>
      <c r="I76" s="5"/>
    </row>
    <row r="77" customFormat="false" ht="15" hidden="false" customHeight="false" outlineLevel="0" collapsed="false">
      <c r="A77" s="27" t="n">
        <v>73</v>
      </c>
      <c r="B77" s="26" t="s">
        <v>96</v>
      </c>
      <c r="C77" s="5" t="s">
        <v>94</v>
      </c>
      <c r="D77" s="27" t="n">
        <v>3</v>
      </c>
      <c r="E77" s="27" t="n">
        <v>3</v>
      </c>
      <c r="F77" s="27" t="n">
        <v>3</v>
      </c>
      <c r="G77" s="27" t="n">
        <v>2</v>
      </c>
      <c r="H77" s="5" t="s">
        <v>364</v>
      </c>
      <c r="I77" s="5"/>
    </row>
    <row r="78" customFormat="false" ht="15" hidden="false" customHeight="false" outlineLevel="0" collapsed="false">
      <c r="A78" s="27" t="n">
        <v>74</v>
      </c>
      <c r="B78" s="26" t="s">
        <v>100</v>
      </c>
      <c r="C78" s="5" t="s">
        <v>88</v>
      </c>
      <c r="D78" s="27" t="n">
        <v>4</v>
      </c>
      <c r="E78" s="27" t="n">
        <v>5</v>
      </c>
      <c r="F78" s="27" t="n">
        <v>5</v>
      </c>
      <c r="G78" s="27" t="n">
        <v>5</v>
      </c>
      <c r="H78" s="5" t="s">
        <v>364</v>
      </c>
      <c r="I78" s="5"/>
    </row>
    <row r="79" customFormat="false" ht="15" hidden="false" customHeight="false" outlineLevel="0" collapsed="false">
      <c r="A79" s="27" t="n">
        <v>75</v>
      </c>
      <c r="B79" s="26" t="s">
        <v>99</v>
      </c>
      <c r="C79" s="5" t="s">
        <v>92</v>
      </c>
      <c r="D79" s="27" t="n">
        <v>4</v>
      </c>
      <c r="E79" s="27" t="n">
        <v>2</v>
      </c>
      <c r="F79" s="27" t="n">
        <v>2</v>
      </c>
      <c r="G79" s="27" t="n">
        <v>3</v>
      </c>
      <c r="H79" s="5" t="s">
        <v>367</v>
      </c>
      <c r="I79" s="5" t="s">
        <v>373</v>
      </c>
    </row>
    <row r="80" customFormat="false" ht="15" hidden="false" customHeight="false" outlineLevel="0" collapsed="false">
      <c r="A80" s="27" t="n">
        <v>76</v>
      </c>
      <c r="B80" s="26" t="s">
        <v>103</v>
      </c>
      <c r="C80" s="5" t="s">
        <v>94</v>
      </c>
      <c r="D80" s="27" t="n">
        <v>5</v>
      </c>
      <c r="E80" s="27" t="n">
        <v>5</v>
      </c>
      <c r="F80" s="27" t="n">
        <v>4</v>
      </c>
      <c r="G80" s="27" t="n">
        <v>5</v>
      </c>
      <c r="H80" s="5"/>
      <c r="I80" s="5" t="s">
        <v>370</v>
      </c>
    </row>
    <row r="81" customFormat="false" ht="15" hidden="false" customHeight="false" outlineLevel="0" collapsed="false">
      <c r="A81" s="27" t="n">
        <v>77</v>
      </c>
      <c r="B81" s="26" t="s">
        <v>99</v>
      </c>
      <c r="C81" s="5" t="s">
        <v>92</v>
      </c>
      <c r="D81" s="27" t="n">
        <v>5</v>
      </c>
      <c r="E81" s="27" t="n">
        <v>5</v>
      </c>
      <c r="F81" s="27" t="n">
        <v>5</v>
      </c>
      <c r="G81" s="27" t="n">
        <v>5</v>
      </c>
      <c r="H81" s="5" t="s">
        <v>365</v>
      </c>
      <c r="I81" s="5" t="s">
        <v>373</v>
      </c>
    </row>
    <row r="82" customFormat="false" ht="15" hidden="false" customHeight="false" outlineLevel="0" collapsed="false">
      <c r="A82" s="27" t="n">
        <v>78</v>
      </c>
      <c r="B82" s="26" t="s">
        <v>86</v>
      </c>
      <c r="C82" s="5" t="s">
        <v>94</v>
      </c>
      <c r="D82" s="27" t="n">
        <v>4</v>
      </c>
      <c r="E82" s="27" t="n">
        <v>3</v>
      </c>
      <c r="F82" s="27" t="n">
        <v>4</v>
      </c>
      <c r="G82" s="27" t="n">
        <v>4</v>
      </c>
      <c r="H82" s="5"/>
      <c r="I82" s="5" t="s">
        <v>373</v>
      </c>
    </row>
    <row r="83" customFormat="false" ht="15" hidden="false" customHeight="false" outlineLevel="0" collapsed="false">
      <c r="A83" s="27" t="n">
        <v>79</v>
      </c>
      <c r="B83" s="26" t="s">
        <v>98</v>
      </c>
      <c r="C83" s="5" t="s">
        <v>92</v>
      </c>
      <c r="D83" s="27" t="n">
        <v>3</v>
      </c>
      <c r="E83" s="27" t="n">
        <v>4</v>
      </c>
      <c r="F83" s="27" t="n">
        <v>4</v>
      </c>
      <c r="G83" s="27" t="n">
        <v>3</v>
      </c>
      <c r="H83" s="5" t="s">
        <v>377</v>
      </c>
      <c r="I83" s="5" t="s">
        <v>368</v>
      </c>
    </row>
    <row r="84" customFormat="false" ht="15" hidden="false" customHeight="false" outlineLevel="0" collapsed="false">
      <c r="A84" s="27" t="n">
        <v>80</v>
      </c>
      <c r="B84" s="26" t="s">
        <v>86</v>
      </c>
      <c r="C84" s="5" t="s">
        <v>89</v>
      </c>
      <c r="D84" s="27" t="n">
        <v>5</v>
      </c>
      <c r="E84" s="27" t="n">
        <v>5</v>
      </c>
      <c r="F84" s="27" t="n">
        <v>5</v>
      </c>
      <c r="G84" s="27" t="n">
        <v>5</v>
      </c>
      <c r="H84" s="5"/>
      <c r="I84" s="5" t="s">
        <v>378</v>
      </c>
    </row>
    <row r="85" customFormat="false" ht="15" hidden="false" customHeight="false" outlineLevel="0" collapsed="false">
      <c r="A85" s="27" t="n">
        <v>81</v>
      </c>
      <c r="B85" s="26" t="s">
        <v>102</v>
      </c>
      <c r="C85" s="5" t="s">
        <v>89</v>
      </c>
      <c r="D85" s="27" t="n">
        <v>4</v>
      </c>
      <c r="E85" s="27" t="n">
        <v>4</v>
      </c>
      <c r="F85" s="27" t="n">
        <v>2</v>
      </c>
      <c r="G85" s="27" t="n">
        <v>4</v>
      </c>
      <c r="H85" s="5" t="s">
        <v>365</v>
      </c>
      <c r="I85" s="5"/>
    </row>
    <row r="86" customFormat="false" ht="15" hidden="false" customHeight="false" outlineLevel="0" collapsed="false">
      <c r="A86" s="27" t="n">
        <v>82</v>
      </c>
      <c r="B86" s="26" t="s">
        <v>105</v>
      </c>
      <c r="C86" s="5" t="s">
        <v>94</v>
      </c>
      <c r="D86" s="27" t="n">
        <v>4</v>
      </c>
      <c r="E86" s="27" t="n">
        <v>5</v>
      </c>
      <c r="F86" s="27" t="n">
        <v>3</v>
      </c>
      <c r="G86" s="27" t="n">
        <v>5</v>
      </c>
      <c r="H86" s="5"/>
      <c r="I86" s="5"/>
    </row>
    <row r="87" customFormat="false" ht="15" hidden="false" customHeight="false" outlineLevel="0" collapsed="false">
      <c r="A87" s="27" t="n">
        <v>83</v>
      </c>
      <c r="B87" s="26" t="s">
        <v>102</v>
      </c>
      <c r="C87" s="5" t="s">
        <v>94</v>
      </c>
      <c r="D87" s="27" t="n">
        <v>5</v>
      </c>
      <c r="E87" s="27" t="n">
        <v>4</v>
      </c>
      <c r="F87" s="27" t="n">
        <v>5</v>
      </c>
      <c r="G87" s="27" t="n">
        <v>5</v>
      </c>
      <c r="H87" s="5" t="s">
        <v>371</v>
      </c>
      <c r="I87" s="5" t="s">
        <v>370</v>
      </c>
    </row>
    <row r="88" customFormat="false" ht="15" hidden="false" customHeight="false" outlineLevel="0" collapsed="false">
      <c r="A88" s="27" t="n">
        <v>84</v>
      </c>
      <c r="B88" s="26" t="s">
        <v>100</v>
      </c>
      <c r="C88" s="5" t="s">
        <v>91</v>
      </c>
      <c r="D88" s="27" t="n">
        <v>3</v>
      </c>
      <c r="E88" s="27" t="n">
        <v>4</v>
      </c>
      <c r="F88" s="27" t="n">
        <v>4</v>
      </c>
      <c r="G88" s="27" t="n">
        <v>2</v>
      </c>
      <c r="H88" s="5"/>
      <c r="I88" s="5"/>
    </row>
    <row r="89" customFormat="false" ht="15" hidden="false" customHeight="false" outlineLevel="0" collapsed="false">
      <c r="A89" s="27" t="n">
        <v>85</v>
      </c>
      <c r="B89" s="26" t="s">
        <v>105</v>
      </c>
      <c r="C89" s="5" t="s">
        <v>95</v>
      </c>
      <c r="D89" s="27" t="n">
        <v>4</v>
      </c>
      <c r="E89" s="27" t="n">
        <v>4</v>
      </c>
      <c r="F89" s="27" t="n">
        <v>3</v>
      </c>
      <c r="G89" s="27" t="n">
        <v>5</v>
      </c>
      <c r="H89" s="5" t="s">
        <v>376</v>
      </c>
      <c r="I89" s="5" t="s">
        <v>374</v>
      </c>
    </row>
    <row r="90" customFormat="false" ht="15" hidden="false" customHeight="false" outlineLevel="0" collapsed="false">
      <c r="A90" s="27" t="n">
        <v>86</v>
      </c>
      <c r="B90" s="26" t="s">
        <v>107</v>
      </c>
      <c r="C90" s="5" t="s">
        <v>91</v>
      </c>
      <c r="D90" s="27" t="n">
        <v>3</v>
      </c>
      <c r="E90" s="27" t="n">
        <v>5</v>
      </c>
      <c r="F90" s="27" t="n">
        <v>5</v>
      </c>
      <c r="G90" s="27" t="n">
        <v>4</v>
      </c>
      <c r="H90" s="5"/>
      <c r="I90" s="5" t="s">
        <v>366</v>
      </c>
    </row>
    <row r="91" customFormat="false" ht="15" hidden="false" customHeight="false" outlineLevel="0" collapsed="false">
      <c r="A91" s="27" t="n">
        <v>87</v>
      </c>
      <c r="B91" s="26" t="s">
        <v>100</v>
      </c>
      <c r="C91" s="5" t="s">
        <v>92</v>
      </c>
      <c r="D91" s="27" t="n">
        <v>5</v>
      </c>
      <c r="E91" s="27" t="n">
        <v>5</v>
      </c>
      <c r="F91" s="27" t="n">
        <v>4</v>
      </c>
      <c r="G91" s="27" t="n">
        <v>4</v>
      </c>
      <c r="H91" s="5"/>
      <c r="I91" s="5" t="s">
        <v>373</v>
      </c>
    </row>
    <row r="92" customFormat="false" ht="15" hidden="false" customHeight="false" outlineLevel="0" collapsed="false">
      <c r="A92" s="27" t="n">
        <v>88</v>
      </c>
      <c r="B92" s="26" t="s">
        <v>98</v>
      </c>
      <c r="C92" s="5" t="s">
        <v>92</v>
      </c>
      <c r="D92" s="27" t="n">
        <v>4</v>
      </c>
      <c r="E92" s="27" t="n">
        <v>5</v>
      </c>
      <c r="F92" s="27" t="n">
        <v>5</v>
      </c>
      <c r="G92" s="27" t="n">
        <v>5</v>
      </c>
      <c r="H92" s="5" t="s">
        <v>369</v>
      </c>
      <c r="I92" s="5" t="s">
        <v>378</v>
      </c>
    </row>
    <row r="93" customFormat="false" ht="15" hidden="false" customHeight="false" outlineLevel="0" collapsed="false">
      <c r="A93" s="27" t="n">
        <v>89</v>
      </c>
      <c r="B93" s="26" t="s">
        <v>107</v>
      </c>
      <c r="C93" s="5" t="s">
        <v>91</v>
      </c>
      <c r="D93" s="27" t="n">
        <v>5</v>
      </c>
      <c r="E93" s="27" t="n">
        <v>5</v>
      </c>
      <c r="F93" s="27" t="n">
        <v>5</v>
      </c>
      <c r="G93" s="27" t="n">
        <v>5</v>
      </c>
      <c r="H93" s="5" t="s">
        <v>367</v>
      </c>
      <c r="I93" s="5" t="s">
        <v>370</v>
      </c>
    </row>
    <row r="94" customFormat="false" ht="15" hidden="false" customHeight="false" outlineLevel="0" collapsed="false">
      <c r="A94" s="27" t="n">
        <v>90</v>
      </c>
      <c r="B94" s="26" t="s">
        <v>96</v>
      </c>
      <c r="C94" s="5" t="s">
        <v>92</v>
      </c>
      <c r="D94" s="27" t="n">
        <v>4</v>
      </c>
      <c r="E94" s="27" t="n">
        <v>5</v>
      </c>
      <c r="F94" s="27" t="n">
        <v>5</v>
      </c>
      <c r="G94" s="27" t="n">
        <v>5</v>
      </c>
      <c r="H94" s="5"/>
      <c r="I94" s="5" t="s">
        <v>366</v>
      </c>
    </row>
    <row r="95" customFormat="false" ht="15" hidden="false" customHeight="false" outlineLevel="0" collapsed="false">
      <c r="A95" s="27" t="n">
        <v>91</v>
      </c>
      <c r="B95" s="26" t="s">
        <v>105</v>
      </c>
      <c r="C95" s="5" t="s">
        <v>89</v>
      </c>
      <c r="D95" s="27" t="n">
        <v>5</v>
      </c>
      <c r="E95" s="27" t="n">
        <v>5</v>
      </c>
      <c r="F95" s="27" t="n">
        <v>5</v>
      </c>
      <c r="G95" s="27" t="n">
        <v>4</v>
      </c>
      <c r="H95" s="5" t="s">
        <v>367</v>
      </c>
      <c r="I95" s="5" t="s">
        <v>366</v>
      </c>
    </row>
    <row r="96" customFormat="false" ht="15" hidden="false" customHeight="false" outlineLevel="0" collapsed="false">
      <c r="A96" s="27" t="n">
        <v>92</v>
      </c>
      <c r="B96" s="26" t="s">
        <v>96</v>
      </c>
      <c r="C96" s="5" t="s">
        <v>91</v>
      </c>
      <c r="D96" s="27" t="n">
        <v>5</v>
      </c>
      <c r="E96" s="27" t="n">
        <v>5</v>
      </c>
      <c r="F96" s="27" t="n">
        <v>5</v>
      </c>
      <c r="G96" s="27" t="n">
        <v>5</v>
      </c>
      <c r="H96" s="5" t="s">
        <v>372</v>
      </c>
      <c r="I96" s="5" t="s">
        <v>375</v>
      </c>
    </row>
    <row r="97" customFormat="false" ht="15" hidden="false" customHeight="false" outlineLevel="0" collapsed="false">
      <c r="A97" s="27" t="n">
        <v>93</v>
      </c>
      <c r="B97" s="26" t="s">
        <v>105</v>
      </c>
      <c r="C97" s="5" t="s">
        <v>92</v>
      </c>
      <c r="D97" s="27" t="n">
        <v>3</v>
      </c>
      <c r="E97" s="27" t="n">
        <v>4</v>
      </c>
      <c r="F97" s="27" t="n">
        <v>2</v>
      </c>
      <c r="G97" s="27" t="n">
        <v>3</v>
      </c>
      <c r="H97" s="5" t="s">
        <v>364</v>
      </c>
      <c r="I97" s="5" t="s">
        <v>366</v>
      </c>
    </row>
    <row r="98" customFormat="false" ht="15" hidden="false" customHeight="false" outlineLevel="0" collapsed="false">
      <c r="A98" s="27" t="n">
        <v>94</v>
      </c>
      <c r="B98" s="26" t="s">
        <v>99</v>
      </c>
      <c r="C98" s="5" t="s">
        <v>89</v>
      </c>
      <c r="D98" s="27" t="n">
        <v>5</v>
      </c>
      <c r="E98" s="27" t="n">
        <v>5</v>
      </c>
      <c r="F98" s="27" t="n">
        <v>5</v>
      </c>
      <c r="G98" s="27" t="n">
        <v>5</v>
      </c>
      <c r="H98" s="5"/>
      <c r="I98" s="5"/>
    </row>
    <row r="99" customFormat="false" ht="15" hidden="false" customHeight="false" outlineLevel="0" collapsed="false">
      <c r="A99" s="27" t="n">
        <v>95</v>
      </c>
      <c r="B99" s="26" t="s">
        <v>96</v>
      </c>
      <c r="C99" s="5" t="s">
        <v>92</v>
      </c>
      <c r="D99" s="27" t="n">
        <v>5</v>
      </c>
      <c r="E99" s="27" t="n">
        <v>5</v>
      </c>
      <c r="F99" s="27" t="n">
        <v>5</v>
      </c>
      <c r="G99" s="27" t="n">
        <v>5</v>
      </c>
      <c r="H99" s="5" t="s">
        <v>371</v>
      </c>
      <c r="I99" s="5" t="s">
        <v>374</v>
      </c>
    </row>
    <row r="100" customFormat="false" ht="15" hidden="false" customHeight="false" outlineLevel="0" collapsed="false">
      <c r="A100" s="27" t="n">
        <v>96</v>
      </c>
      <c r="B100" s="26" t="s">
        <v>86</v>
      </c>
      <c r="C100" s="5" t="s">
        <v>89</v>
      </c>
      <c r="D100" s="27" t="n">
        <v>5</v>
      </c>
      <c r="E100" s="27" t="n">
        <v>4</v>
      </c>
      <c r="F100" s="27" t="n">
        <v>4</v>
      </c>
      <c r="G100" s="27" t="n">
        <v>4</v>
      </c>
      <c r="H100" s="5" t="s">
        <v>367</v>
      </c>
      <c r="I100" s="5" t="s">
        <v>366</v>
      </c>
    </row>
    <row r="101" customFormat="false" ht="15" hidden="false" customHeight="false" outlineLevel="0" collapsed="false">
      <c r="A101" s="27" t="n">
        <v>97</v>
      </c>
      <c r="B101" s="26" t="s">
        <v>100</v>
      </c>
      <c r="C101" s="5" t="s">
        <v>88</v>
      </c>
      <c r="D101" s="27" t="n">
        <v>5</v>
      </c>
      <c r="E101" s="27" t="n">
        <v>5</v>
      </c>
      <c r="F101" s="27" t="n">
        <v>4</v>
      </c>
      <c r="G101" s="27" t="n">
        <v>5</v>
      </c>
      <c r="H101" s="5"/>
      <c r="I101" s="5" t="s">
        <v>373</v>
      </c>
    </row>
    <row r="102" customFormat="false" ht="15" hidden="false" customHeight="false" outlineLevel="0" collapsed="false">
      <c r="A102" s="27" t="n">
        <v>98</v>
      </c>
      <c r="B102" s="26" t="s">
        <v>100</v>
      </c>
      <c r="C102" s="5" t="s">
        <v>95</v>
      </c>
      <c r="D102" s="27" t="n">
        <v>3</v>
      </c>
      <c r="E102" s="27" t="n">
        <v>4</v>
      </c>
      <c r="F102" s="27" t="n">
        <v>3</v>
      </c>
      <c r="G102" s="27" t="n">
        <v>3</v>
      </c>
      <c r="H102" s="5" t="s">
        <v>377</v>
      </c>
      <c r="I102" s="5" t="s">
        <v>370</v>
      </c>
    </row>
    <row r="103" customFormat="false" ht="15" hidden="false" customHeight="false" outlineLevel="0" collapsed="false">
      <c r="A103" s="27" t="n">
        <v>99</v>
      </c>
      <c r="B103" s="26" t="s">
        <v>103</v>
      </c>
      <c r="C103" s="5" t="s">
        <v>94</v>
      </c>
      <c r="D103" s="27" t="n">
        <v>4</v>
      </c>
      <c r="E103" s="27" t="n">
        <v>5</v>
      </c>
      <c r="F103" s="27" t="n">
        <v>3</v>
      </c>
      <c r="G103" s="27" t="n">
        <v>4</v>
      </c>
      <c r="H103" s="5" t="s">
        <v>369</v>
      </c>
      <c r="I103" s="5" t="s">
        <v>368</v>
      </c>
    </row>
    <row r="104" customFormat="false" ht="15" hidden="false" customHeight="false" outlineLevel="0" collapsed="false">
      <c r="A104" s="27" t="n">
        <v>100</v>
      </c>
      <c r="B104" s="26" t="s">
        <v>100</v>
      </c>
      <c r="C104" s="5" t="s">
        <v>88</v>
      </c>
      <c r="D104" s="27" t="n">
        <v>3</v>
      </c>
      <c r="E104" s="27" t="n">
        <v>4</v>
      </c>
      <c r="F104" s="27" t="n">
        <v>3</v>
      </c>
      <c r="G104" s="27" t="n">
        <v>2</v>
      </c>
      <c r="H104" s="5" t="s">
        <v>377</v>
      </c>
      <c r="I104" s="5" t="s">
        <v>375</v>
      </c>
    </row>
    <row r="105" customFormat="false" ht="15" hidden="false" customHeight="false" outlineLevel="0" collapsed="false">
      <c r="A105" s="27" t="n">
        <v>101</v>
      </c>
      <c r="B105" s="26" t="s">
        <v>103</v>
      </c>
      <c r="C105" s="5" t="s">
        <v>89</v>
      </c>
      <c r="D105" s="27" t="n">
        <v>4</v>
      </c>
      <c r="E105" s="27" t="n">
        <v>4</v>
      </c>
      <c r="F105" s="27" t="n">
        <v>4</v>
      </c>
      <c r="G105" s="27" t="n">
        <v>3</v>
      </c>
      <c r="H105" s="5" t="s">
        <v>376</v>
      </c>
      <c r="I105" s="5"/>
    </row>
    <row r="106" customFormat="false" ht="15" hidden="false" customHeight="false" outlineLevel="0" collapsed="false">
      <c r="A106" s="27" t="n">
        <v>102</v>
      </c>
      <c r="B106" s="26" t="s">
        <v>86</v>
      </c>
      <c r="C106" s="5" t="s">
        <v>88</v>
      </c>
      <c r="D106" s="27" t="n">
        <v>3</v>
      </c>
      <c r="E106" s="27" t="n">
        <v>3</v>
      </c>
      <c r="F106" s="27" t="n">
        <v>4</v>
      </c>
      <c r="G106" s="27" t="n">
        <v>3</v>
      </c>
      <c r="H106" s="5"/>
      <c r="I106" s="5" t="s">
        <v>374</v>
      </c>
    </row>
    <row r="107" customFormat="false" ht="15" hidden="false" customHeight="false" outlineLevel="0" collapsed="false">
      <c r="A107" s="27" t="n">
        <v>103</v>
      </c>
      <c r="B107" s="26" t="s">
        <v>86</v>
      </c>
      <c r="C107" s="5" t="s">
        <v>92</v>
      </c>
      <c r="D107" s="27" t="n">
        <v>4</v>
      </c>
      <c r="E107" s="27" t="n">
        <v>3</v>
      </c>
      <c r="F107" s="27" t="n">
        <v>4</v>
      </c>
      <c r="G107" s="27" t="n">
        <v>3</v>
      </c>
      <c r="H107" s="5" t="s">
        <v>371</v>
      </c>
      <c r="I107" s="5" t="s">
        <v>378</v>
      </c>
    </row>
    <row r="108" customFormat="false" ht="15" hidden="false" customHeight="false" outlineLevel="0" collapsed="false">
      <c r="A108" s="27" t="n">
        <v>104</v>
      </c>
      <c r="B108" s="26" t="s">
        <v>96</v>
      </c>
      <c r="C108" s="5" t="s">
        <v>92</v>
      </c>
      <c r="D108" s="27" t="n">
        <v>5</v>
      </c>
      <c r="E108" s="27" t="n">
        <v>4</v>
      </c>
      <c r="F108" s="27" t="n">
        <v>4</v>
      </c>
      <c r="G108" s="27" t="n">
        <v>4</v>
      </c>
      <c r="H108" s="5" t="s">
        <v>364</v>
      </c>
      <c r="I108" s="5" t="s">
        <v>368</v>
      </c>
    </row>
    <row r="109" customFormat="false" ht="15" hidden="false" customHeight="false" outlineLevel="0" collapsed="false">
      <c r="A109" s="27" t="n">
        <v>105</v>
      </c>
      <c r="B109" s="26" t="s">
        <v>98</v>
      </c>
      <c r="C109" s="5" t="s">
        <v>95</v>
      </c>
      <c r="D109" s="27" t="n">
        <v>5</v>
      </c>
      <c r="E109" s="27" t="n">
        <v>5</v>
      </c>
      <c r="F109" s="27" t="n">
        <v>4</v>
      </c>
      <c r="G109" s="27" t="n">
        <v>5</v>
      </c>
      <c r="H109" s="5" t="s">
        <v>376</v>
      </c>
      <c r="I109" s="5" t="s">
        <v>375</v>
      </c>
    </row>
    <row r="110" customFormat="false" ht="15" hidden="false" customHeight="false" outlineLevel="0" collapsed="false">
      <c r="A110" s="27" t="n">
        <v>106</v>
      </c>
      <c r="B110" s="26" t="s">
        <v>102</v>
      </c>
      <c r="C110" s="5" t="s">
        <v>95</v>
      </c>
      <c r="D110" s="27" t="n">
        <v>3</v>
      </c>
      <c r="E110" s="27" t="n">
        <v>4</v>
      </c>
      <c r="F110" s="27" t="n">
        <v>4</v>
      </c>
      <c r="G110" s="27" t="n">
        <v>4</v>
      </c>
      <c r="H110" s="5"/>
      <c r="I110" s="5" t="s">
        <v>374</v>
      </c>
    </row>
    <row r="111" customFormat="false" ht="15" hidden="false" customHeight="false" outlineLevel="0" collapsed="false">
      <c r="A111" s="27" t="n">
        <v>107</v>
      </c>
      <c r="B111" s="26" t="s">
        <v>86</v>
      </c>
      <c r="C111" s="5" t="s">
        <v>89</v>
      </c>
      <c r="D111" s="27" t="n">
        <v>3</v>
      </c>
      <c r="E111" s="27" t="n">
        <v>5</v>
      </c>
      <c r="F111" s="27" t="n">
        <v>3</v>
      </c>
      <c r="G111" s="27" t="n">
        <v>4</v>
      </c>
      <c r="H111" s="5" t="s">
        <v>376</v>
      </c>
      <c r="I111" s="5"/>
    </row>
    <row r="112" customFormat="false" ht="15" hidden="false" customHeight="false" outlineLevel="0" collapsed="false">
      <c r="A112" s="27" t="n">
        <v>108</v>
      </c>
      <c r="B112" s="26" t="s">
        <v>102</v>
      </c>
      <c r="C112" s="5" t="s">
        <v>91</v>
      </c>
      <c r="D112" s="27" t="n">
        <v>5</v>
      </c>
      <c r="E112" s="27" t="n">
        <v>5</v>
      </c>
      <c r="F112" s="27" t="n">
        <v>5</v>
      </c>
      <c r="G112" s="27" t="n">
        <v>5</v>
      </c>
      <c r="H112" s="5" t="s">
        <v>367</v>
      </c>
      <c r="I112" s="5"/>
    </row>
    <row r="113" customFormat="false" ht="15" hidden="false" customHeight="false" outlineLevel="0" collapsed="false">
      <c r="A113" s="27" t="n">
        <v>109</v>
      </c>
      <c r="B113" s="26" t="s">
        <v>100</v>
      </c>
      <c r="C113" s="5" t="s">
        <v>91</v>
      </c>
      <c r="D113" s="27" t="n">
        <v>3</v>
      </c>
      <c r="E113" s="27" t="n">
        <v>2</v>
      </c>
      <c r="F113" s="27" t="n">
        <v>3</v>
      </c>
      <c r="G113" s="27" t="n">
        <v>3</v>
      </c>
      <c r="H113" s="5"/>
      <c r="I113" s="5" t="s">
        <v>366</v>
      </c>
    </row>
    <row r="114" customFormat="false" ht="15" hidden="false" customHeight="false" outlineLevel="0" collapsed="false">
      <c r="A114" s="27" t="n">
        <v>110</v>
      </c>
      <c r="B114" s="26" t="s">
        <v>98</v>
      </c>
      <c r="C114" s="5" t="s">
        <v>95</v>
      </c>
      <c r="D114" s="27" t="n">
        <v>3</v>
      </c>
      <c r="E114" s="27" t="n">
        <v>5</v>
      </c>
      <c r="F114" s="27" t="n">
        <v>3</v>
      </c>
      <c r="G114" s="27" t="n">
        <v>4</v>
      </c>
      <c r="H114" s="5" t="s">
        <v>365</v>
      </c>
      <c r="I114" s="5" t="s">
        <v>373</v>
      </c>
    </row>
    <row r="115" customFormat="false" ht="15" hidden="false" customHeight="false" outlineLevel="0" collapsed="false">
      <c r="A115" s="27" t="n">
        <v>111</v>
      </c>
      <c r="B115" s="26" t="s">
        <v>99</v>
      </c>
      <c r="C115" s="5" t="s">
        <v>95</v>
      </c>
      <c r="D115" s="27" t="n">
        <v>4</v>
      </c>
      <c r="E115" s="27" t="n">
        <v>3</v>
      </c>
      <c r="F115" s="27" t="n">
        <v>2</v>
      </c>
      <c r="G115" s="27" t="n">
        <v>3</v>
      </c>
      <c r="H115" s="5" t="s">
        <v>364</v>
      </c>
      <c r="I115" s="5" t="s">
        <v>370</v>
      </c>
    </row>
    <row r="116" customFormat="false" ht="15" hidden="false" customHeight="false" outlineLevel="0" collapsed="false">
      <c r="A116" s="27" t="n">
        <v>112</v>
      </c>
      <c r="B116" s="26" t="s">
        <v>103</v>
      </c>
      <c r="C116" s="5" t="s">
        <v>89</v>
      </c>
      <c r="D116" s="27" t="n">
        <v>3</v>
      </c>
      <c r="E116" s="27" t="n">
        <v>4</v>
      </c>
      <c r="F116" s="27" t="n">
        <v>5</v>
      </c>
      <c r="G116" s="27" t="n">
        <v>5</v>
      </c>
      <c r="H116" s="5" t="s">
        <v>371</v>
      </c>
      <c r="I116" s="5" t="s">
        <v>370</v>
      </c>
    </row>
    <row r="117" customFormat="false" ht="15" hidden="false" customHeight="false" outlineLevel="0" collapsed="false">
      <c r="A117" s="27" t="n">
        <v>113</v>
      </c>
      <c r="B117" s="26" t="s">
        <v>96</v>
      </c>
      <c r="C117" s="5" t="s">
        <v>95</v>
      </c>
      <c r="D117" s="27" t="n">
        <v>3</v>
      </c>
      <c r="E117" s="27" t="n">
        <v>4</v>
      </c>
      <c r="F117" s="27" t="n">
        <v>4</v>
      </c>
      <c r="G117" s="27" t="n">
        <v>2</v>
      </c>
      <c r="H117" s="5" t="s">
        <v>376</v>
      </c>
      <c r="I117" s="5" t="s">
        <v>370</v>
      </c>
    </row>
    <row r="118" customFormat="false" ht="15" hidden="false" customHeight="false" outlineLevel="0" collapsed="false">
      <c r="A118" s="27" t="n">
        <v>114</v>
      </c>
      <c r="B118" s="26" t="s">
        <v>107</v>
      </c>
      <c r="C118" s="5" t="s">
        <v>89</v>
      </c>
      <c r="D118" s="27" t="n">
        <v>3</v>
      </c>
      <c r="E118" s="27" t="n">
        <v>3</v>
      </c>
      <c r="F118" s="27" t="n">
        <v>4</v>
      </c>
      <c r="G118" s="27" t="n">
        <v>3</v>
      </c>
      <c r="H118" s="5" t="s">
        <v>372</v>
      </c>
      <c r="I118" s="5"/>
    </row>
    <row r="119" customFormat="false" ht="15" hidden="false" customHeight="false" outlineLevel="0" collapsed="false">
      <c r="A119" s="27" t="n">
        <v>115</v>
      </c>
      <c r="B119" s="26" t="s">
        <v>105</v>
      </c>
      <c r="C119" s="5" t="s">
        <v>88</v>
      </c>
      <c r="D119" s="27" t="n">
        <v>3</v>
      </c>
      <c r="E119" s="27" t="n">
        <v>3</v>
      </c>
      <c r="F119" s="27" t="n">
        <v>3</v>
      </c>
      <c r="G119" s="27" t="n">
        <v>4</v>
      </c>
      <c r="H119" s="5" t="s">
        <v>376</v>
      </c>
      <c r="I119" s="5"/>
    </row>
    <row r="120" customFormat="false" ht="15" hidden="false" customHeight="false" outlineLevel="0" collapsed="false">
      <c r="A120" s="27" t="n">
        <v>116</v>
      </c>
      <c r="B120" s="26" t="s">
        <v>99</v>
      </c>
      <c r="C120" s="5" t="s">
        <v>92</v>
      </c>
      <c r="D120" s="27" t="n">
        <v>5</v>
      </c>
      <c r="E120" s="27" t="n">
        <v>5</v>
      </c>
      <c r="F120" s="27" t="n">
        <v>5</v>
      </c>
      <c r="G120" s="27" t="n">
        <v>5</v>
      </c>
      <c r="H120" s="5" t="s">
        <v>376</v>
      </c>
      <c r="I120" s="5"/>
    </row>
    <row r="121" customFormat="false" ht="15" hidden="false" customHeight="false" outlineLevel="0" collapsed="false">
      <c r="A121" s="27" t="n">
        <v>117</v>
      </c>
      <c r="B121" s="26" t="s">
        <v>99</v>
      </c>
      <c r="C121" s="5" t="s">
        <v>91</v>
      </c>
      <c r="D121" s="27" t="n">
        <v>3</v>
      </c>
      <c r="E121" s="27" t="n">
        <v>4</v>
      </c>
      <c r="F121" s="27" t="n">
        <v>4</v>
      </c>
      <c r="G121" s="27" t="n">
        <v>3</v>
      </c>
      <c r="H121" s="5" t="s">
        <v>371</v>
      </c>
      <c r="I121" s="5" t="s">
        <v>374</v>
      </c>
    </row>
    <row r="122" customFormat="false" ht="15" hidden="false" customHeight="false" outlineLevel="0" collapsed="false">
      <c r="A122" s="27" t="n">
        <v>118</v>
      </c>
      <c r="B122" s="26" t="s">
        <v>96</v>
      </c>
      <c r="C122" s="5" t="s">
        <v>95</v>
      </c>
      <c r="D122" s="27" t="n">
        <v>4</v>
      </c>
      <c r="E122" s="27" t="n">
        <v>5</v>
      </c>
      <c r="F122" s="27" t="n">
        <v>3</v>
      </c>
      <c r="G122" s="27" t="n">
        <v>4</v>
      </c>
      <c r="H122" s="5" t="s">
        <v>376</v>
      </c>
      <c r="I122" s="5" t="s">
        <v>368</v>
      </c>
    </row>
    <row r="123" customFormat="false" ht="15" hidden="false" customHeight="false" outlineLevel="0" collapsed="false">
      <c r="A123" s="27" t="n">
        <v>119</v>
      </c>
      <c r="B123" s="26" t="s">
        <v>96</v>
      </c>
      <c r="C123" s="5" t="s">
        <v>91</v>
      </c>
      <c r="D123" s="27" t="n">
        <v>4</v>
      </c>
      <c r="E123" s="27" t="n">
        <v>3</v>
      </c>
      <c r="F123" s="27" t="n">
        <v>5</v>
      </c>
      <c r="G123" s="27" t="n">
        <v>4</v>
      </c>
      <c r="H123" s="5" t="s">
        <v>364</v>
      </c>
      <c r="I123" s="5" t="s">
        <v>375</v>
      </c>
    </row>
    <row r="124" customFormat="false" ht="15" hidden="false" customHeight="false" outlineLevel="0" collapsed="false">
      <c r="A124" s="27" t="n">
        <v>120</v>
      </c>
      <c r="B124" s="26" t="s">
        <v>102</v>
      </c>
      <c r="C124" s="5" t="s">
        <v>92</v>
      </c>
      <c r="D124" s="27" t="n">
        <v>3</v>
      </c>
      <c r="E124" s="27" t="n">
        <v>4</v>
      </c>
      <c r="F124" s="27" t="n">
        <v>2</v>
      </c>
      <c r="G124" s="27" t="n">
        <v>3</v>
      </c>
      <c r="H124" s="5"/>
      <c r="I124" s="5" t="s">
        <v>373</v>
      </c>
    </row>
    <row r="125" customFormat="false" ht="15" hidden="false" customHeight="false" outlineLevel="0" collapsed="false">
      <c r="C125" s="9" t="s">
        <v>379</v>
      </c>
      <c r="D125" s="21" t="n">
        <f aca="false">AVERAGE(D5:D124)</f>
        <v>4.11666666666667</v>
      </c>
      <c r="E125" s="21" t="n">
        <f aca="false">AVERAGE(E5:E124)</f>
        <v>4.13333333333333</v>
      </c>
      <c r="F125" s="21" t="n">
        <f aca="false">AVERAGE(F5:F124)</f>
        <v>4.025</v>
      </c>
      <c r="G125" s="21" t="n">
        <f aca="false">AVERAGE(G5:G124)</f>
        <v>4.00833333333333</v>
      </c>
    </row>
  </sheetData>
  <autoFilter ref="A4:I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2026-10-12T01:32:43Z</dcterms:created>
  <dc:creator>openpyxl</dc:creator>
  <dc:description/>
  <dc:language>en-US</dc:language>
  <cp:lastModifiedBy/>
  <dcterms:modified xsi:type="dcterms:W3CDTF">2026-10-12T01:32:43Z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